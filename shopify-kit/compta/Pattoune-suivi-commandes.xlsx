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mandes" sheetId="1" state="visible" r:id="rId3"/>
    <sheet name="Mode d'emploi" sheetId="2" state="visible" r:id="rId4"/>
    <sheet name="Réglages" sheetId="3" state="visible" r:id="rId5"/>
    <sheet name="Récap par mo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Hypothèse : 12,3 % pour la vente de marchandises en micro-entreprise. À vérifier sur ton espace autoentrepreneur.urssaf.fr (ACRE = taux réduit la 1re année).</t>
        </r>
      </text>
    </comment>
    <comment ref="B4" authorId="0">
      <text>
        <r>
          <rPr>
            <sz val="10"/>
            <rFont val="Arial"/>
            <family val="2"/>
          </rPr>
          <t xml:space="preserve">Mets 1 % (0,01) seulement si tu as opté pour le versement libératoire. Sinon laisse 0.</t>
        </r>
      </text>
    </comment>
  </commentList>
</comments>
</file>

<file path=xl/sharedStrings.xml><?xml version="1.0" encoding="utf-8"?>
<sst xmlns="http://schemas.openxmlformats.org/spreadsheetml/2006/main" count="47" uniqueCount="42">
  <si>
    <t xml:space="preserve">Date</t>
  </si>
  <si>
    <t xml:space="preserve">N° commande</t>
  </si>
  <si>
    <t xml:space="preserve">Produit</t>
  </si>
  <si>
    <t xml:space="preserve">Pays</t>
  </si>
  <si>
    <t xml:space="preserve">Reçu du client (€)</t>
  </si>
  <si>
    <t xml:space="preserve">Fournisseur payé (€)</t>
  </si>
  <si>
    <t xml:space="preserve">Frais Shopify (€)</t>
  </si>
  <si>
    <t xml:space="preserve">URSSAF (€)</t>
  </si>
  <si>
    <t xml:space="preserve">Impôt libératoire (€)</t>
  </si>
  <si>
    <t xml:space="preserve">Total payé (€)</t>
  </si>
  <si>
    <t xml:space="preserve">Bénéfice (€)</t>
  </si>
  <si>
    <t xml:space="preserve">Mois</t>
  </si>
  <si>
    <t xml:space="preserve">Remarque</t>
  </si>
  <si>
    <t xml:space="preserve">#1003</t>
  </si>
  <si>
    <t xml:space="preserve">Distributeur eau et croquettes (gris)</t>
  </si>
  <si>
    <t xml:space="preserve">France</t>
  </si>
  <si>
    <t xml:space="preserve">Fournisseur et frais estimés : à corriger avec le relevé Trade Republic et le versement Shopify</t>
  </si>
  <si>
    <t xml:space="preserve">Suivi des commandes Pattoune</t>
  </si>
  <si>
    <t xml:space="preserve">1. À chaque vente, ajoute UNE ligne dans l'onglet « Commandes ».</t>
  </si>
  <si>
    <t xml:space="preserve">2. Tu remplis seulement les cases JAUNES (texte bleu) : date, n° de commande, produit, pays,</t>
  </si>
  <si>
    <t xml:space="preserve">    ce que le client a payé, ce que tu as payé au fournisseur, et les frais Shopify.</t>
  </si>
  <si>
    <t xml:space="preserve">3. Tout le reste se calcule tout seul : URSSAF, total payé, bénéfice, mois.</t>
  </si>
  <si>
    <t xml:space="preserve">4. L'onglet « Récap par mois » te donne le chiffre d'affaires à déclarer à l'URSSAF chaque mois.</t>
  </si>
  <si>
    <t xml:space="preserve">Où trouver les montants :</t>
  </si>
  <si>
    <t xml:space="preserve">• Reçu du client : Shopify → Commandes → la commande → Total.</t>
  </si>
  <si>
    <t xml:space="preserve">• Fournisseur payé : ton relevé Trade Republic (montant débité par AliExpress, en euros).</t>
  </si>
  <si>
    <t xml:space="preserve">• Frais Shopify : Shopify → Paramètres → Paiements → Afficher les versements (ou laisse l'estimation).</t>
  </si>
  <si>
    <t xml:space="preserve">Réglages : vérifie le taux URSSAF dans l'onglet « Réglages » (ton espace autoentrepreneur.urssaf.fr).</t>
  </si>
  <si>
    <t xml:space="preserve">La pub Google n'est pas comptée ici.</t>
  </si>
  <si>
    <t xml:space="preserve">Légende :</t>
  </si>
  <si>
    <t xml:space="preserve">Case à remplir</t>
  </si>
  <si>
    <t xml:space="preserve">Case calculée automatiquement (ne pas toucher)</t>
  </si>
  <si>
    <t xml:space="preserve">Réglages</t>
  </si>
  <si>
    <t xml:space="preserve">Taux URSSAF (vente de marchandises)</t>
  </si>
  <si>
    <t xml:space="preserve">Hypothèse : 12,3 % pour la vente de marchandises en micro-entreprise. À vérifier sur ton espace autoentrepreneur.urssaf.fr (ACRE = taux réduit la 1re année).</t>
  </si>
  <si>
    <t xml:space="preserve">Versement libératoire de l'impôt (0 % si tu ne l'as pas choisi)</t>
  </si>
  <si>
    <t xml:space="preserve">Mets 1 % (0,01) seulement si tu as opté pour le versement libératoire. Sinon laisse 0.</t>
  </si>
  <si>
    <t xml:space="preserve">Nb de commandes</t>
  </si>
  <si>
    <t xml:space="preserve">CA à déclarer URSSAF (€)</t>
  </si>
  <si>
    <t xml:space="preserve">Fournisseur (€)</t>
  </si>
  <si>
    <t xml:space="preserve">TOTAL</t>
  </si>
  <si>
    <t xml:space="preserve">La colonne « CA à déclarer URSSAF » = ce que tu déclares chaque mois (ou chaque trimestre : additionne les 3 mois).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</si>
</sst>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0.00&quot; €&quot;;\-#,##0.00&quot; €&quot;;\-"/>
    <numFmt numFmtId="167" formatCode="mmm\ yyyy"/>
    <numFmt numFmtId="168" formatCode="0.0%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4162B"/>
        <bgColor rgb="FF000000"/>
      </patternFill>
    </fill>
    <fill>
      <patternFill patternType="solid">
        <fgColor rgb="FFFFF4C2"/>
        <bgColor rgb="FFFFFF99"/>
      </patternFill>
    </fill>
    <fill>
      <patternFill patternType="solid">
        <fgColor rgb="FFEDE6D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DE6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16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7"/>
    <col collapsed="false" customWidth="true" hidden="false" outlineLevel="0" max="6" min="6" style="0" width="19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2" min="11" style="0" width="14"/>
    <col collapsed="false" customWidth="true" hidden="false" outlineLevel="0" max="13" min="13" style="0" width="5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46321</v>
      </c>
      <c r="B2" s="3" t="s">
        <v>13</v>
      </c>
      <c r="C2" s="3" t="s">
        <v>14</v>
      </c>
      <c r="D2" s="3" t="s">
        <v>15</v>
      </c>
      <c r="E2" s="4" t="n">
        <v>29.99</v>
      </c>
      <c r="F2" s="4" t="n">
        <v>18.4</v>
      </c>
      <c r="G2" s="4" t="n">
        <v>0.7</v>
      </c>
      <c r="H2" s="5" t="n">
        <f aca="false">IF(E2="","",ROUND(E2*Réglages!$B$3,2))</f>
        <v>3.69</v>
      </c>
      <c r="I2" s="5" t="n">
        <f aca="false">IF(E2="","",ROUND(E2*Réglages!$B$4,2))</f>
        <v>0</v>
      </c>
      <c r="J2" s="5" t="n">
        <f aca="false">IF(E2="","",F2+G2+H2+I2)</f>
        <v>22.79</v>
      </c>
      <c r="K2" s="5" t="n">
        <f aca="false">IF(E2="","",E2-J2)</f>
        <v>7.2</v>
      </c>
      <c r="L2" s="6" t="n">
        <f aca="false">IF(A2="","",DATE(YEAR(A2),MONTH(A2),1))</f>
        <v>46296</v>
      </c>
      <c r="M2" s="3" t="s">
        <v>16</v>
      </c>
    </row>
    <row r="3" customFormat="false" ht="15" hidden="false" customHeight="false" outlineLevel="0" collapsed="false">
      <c r="A3" s="2"/>
      <c r="B3" s="3"/>
      <c r="C3" s="3"/>
      <c r="D3" s="3"/>
      <c r="E3" s="4"/>
      <c r="F3" s="4"/>
      <c r="G3" s="4"/>
      <c r="H3" s="5" t="str">
        <f aca="false">IF(E3="","",ROUND(E3*Réglages!$B$3,2))</f>
        <v/>
      </c>
      <c r="I3" s="5" t="str">
        <f aca="false">IF(E3="","",ROUND(E3*Réglages!$B$4,2))</f>
        <v/>
      </c>
      <c r="J3" s="5" t="str">
        <f aca="false">IF(E3="","",F3+G3+H3+I3)</f>
        <v/>
      </c>
      <c r="K3" s="5" t="str">
        <f aca="false">IF(E3="","",E3-J3)</f>
        <v/>
      </c>
      <c r="L3" s="6" t="str">
        <f aca="false">IF(A3="","",DATE(YEAR(A3),MONTH(A3),1))</f>
        <v/>
      </c>
      <c r="M3" s="3"/>
    </row>
    <row r="4" customFormat="false" ht="15" hidden="false" customHeight="false" outlineLevel="0" collapsed="false">
      <c r="A4" s="2"/>
      <c r="B4" s="3"/>
      <c r="C4" s="3"/>
      <c r="D4" s="3"/>
      <c r="E4" s="4"/>
      <c r="F4" s="4"/>
      <c r="G4" s="4"/>
      <c r="H4" s="5" t="str">
        <f aca="false">IF(E4="","",ROUND(E4*Réglages!$B$3,2))</f>
        <v/>
      </c>
      <c r="I4" s="5" t="str">
        <f aca="false">IF(E4="","",ROUND(E4*Réglages!$B$4,2))</f>
        <v/>
      </c>
      <c r="J4" s="5" t="str">
        <f aca="false">IF(E4="","",F4+G4+H4+I4)</f>
        <v/>
      </c>
      <c r="K4" s="5" t="str">
        <f aca="false">IF(E4="","",E4-J4)</f>
        <v/>
      </c>
      <c r="L4" s="6" t="str">
        <f aca="false">IF(A4="","",DATE(YEAR(A4),MONTH(A4),1))</f>
        <v/>
      </c>
      <c r="M4" s="3"/>
    </row>
    <row r="5" customFormat="false" ht="15" hidden="false" customHeight="false" outlineLevel="0" collapsed="false">
      <c r="A5" s="2"/>
      <c r="B5" s="3"/>
      <c r="C5" s="3"/>
      <c r="D5" s="3"/>
      <c r="E5" s="4"/>
      <c r="F5" s="4"/>
      <c r="G5" s="4"/>
      <c r="H5" s="5" t="str">
        <f aca="false">IF(E5="","",ROUND(E5*Réglages!$B$3,2))</f>
        <v/>
      </c>
      <c r="I5" s="5" t="str">
        <f aca="false">IF(E5="","",ROUND(E5*Réglages!$B$4,2))</f>
        <v/>
      </c>
      <c r="J5" s="5" t="str">
        <f aca="false">IF(E5="","",F5+G5+H5+I5)</f>
        <v/>
      </c>
      <c r="K5" s="5" t="str">
        <f aca="false">IF(E5="","",E5-J5)</f>
        <v/>
      </c>
      <c r="L5" s="6" t="str">
        <f aca="false">IF(A5="","",DATE(YEAR(A5),MONTH(A5),1))</f>
        <v/>
      </c>
      <c r="M5" s="3"/>
    </row>
    <row r="6" customFormat="false" ht="15" hidden="false" customHeight="false" outlineLevel="0" collapsed="false">
      <c r="A6" s="2"/>
      <c r="B6" s="3"/>
      <c r="C6" s="3"/>
      <c r="D6" s="3"/>
      <c r="E6" s="4"/>
      <c r="F6" s="4"/>
      <c r="G6" s="4"/>
      <c r="H6" s="5" t="str">
        <f aca="false">IF(E6="","",ROUND(E6*Réglages!$B$3,2))</f>
        <v/>
      </c>
      <c r="I6" s="5" t="str">
        <f aca="false">IF(E6="","",ROUND(E6*Réglages!$B$4,2))</f>
        <v/>
      </c>
      <c r="J6" s="5" t="str">
        <f aca="false">IF(E6="","",F6+G6+H6+I6)</f>
        <v/>
      </c>
      <c r="K6" s="5" t="str">
        <f aca="false">IF(E6="","",E6-J6)</f>
        <v/>
      </c>
      <c r="L6" s="6" t="str">
        <f aca="false">IF(A6="","",DATE(YEAR(A6),MONTH(A6),1))</f>
        <v/>
      </c>
      <c r="M6" s="3"/>
    </row>
    <row r="7" customFormat="false" ht="15" hidden="false" customHeight="false" outlineLevel="0" collapsed="false">
      <c r="A7" s="2"/>
      <c r="B7" s="3"/>
      <c r="C7" s="3"/>
      <c r="D7" s="3"/>
      <c r="E7" s="4"/>
      <c r="F7" s="4"/>
      <c r="G7" s="4"/>
      <c r="H7" s="5" t="str">
        <f aca="false">IF(E7="","",ROUND(E7*Réglages!$B$3,2))</f>
        <v/>
      </c>
      <c r="I7" s="5" t="str">
        <f aca="false">IF(E7="","",ROUND(E7*Réglages!$B$4,2))</f>
        <v/>
      </c>
      <c r="J7" s="5" t="str">
        <f aca="false">IF(E7="","",F7+G7+H7+I7)</f>
        <v/>
      </c>
      <c r="K7" s="5" t="str">
        <f aca="false">IF(E7="","",E7-J7)</f>
        <v/>
      </c>
      <c r="L7" s="6" t="str">
        <f aca="false">IF(A7="","",DATE(YEAR(A7),MONTH(A7),1))</f>
        <v/>
      </c>
      <c r="M7" s="3"/>
    </row>
    <row r="8" customFormat="false" ht="15" hidden="false" customHeight="false" outlineLevel="0" collapsed="false">
      <c r="A8" s="2"/>
      <c r="B8" s="3"/>
      <c r="C8" s="3"/>
      <c r="D8" s="3"/>
      <c r="E8" s="4"/>
      <c r="F8" s="4"/>
      <c r="G8" s="4"/>
      <c r="H8" s="5" t="str">
        <f aca="false">IF(E8="","",ROUND(E8*Réglages!$B$3,2))</f>
        <v/>
      </c>
      <c r="I8" s="5" t="str">
        <f aca="false">IF(E8="","",ROUND(E8*Réglages!$B$4,2))</f>
        <v/>
      </c>
      <c r="J8" s="5" t="str">
        <f aca="false">IF(E8="","",F8+G8+H8+I8)</f>
        <v/>
      </c>
      <c r="K8" s="5" t="str">
        <f aca="false">IF(E8="","",E8-J8)</f>
        <v/>
      </c>
      <c r="L8" s="6" t="str">
        <f aca="false">IF(A8="","",DATE(YEAR(A8),MONTH(A8),1))</f>
        <v/>
      </c>
      <c r="M8" s="3"/>
    </row>
    <row r="9" customFormat="false" ht="15" hidden="false" customHeight="false" outlineLevel="0" collapsed="false">
      <c r="A9" s="2"/>
      <c r="B9" s="3"/>
      <c r="C9" s="3"/>
      <c r="D9" s="3"/>
      <c r="E9" s="4"/>
      <c r="F9" s="4"/>
      <c r="G9" s="4"/>
      <c r="H9" s="5" t="str">
        <f aca="false">IF(E9="","",ROUND(E9*Réglages!$B$3,2))</f>
        <v/>
      </c>
      <c r="I9" s="5" t="str">
        <f aca="false">IF(E9="","",ROUND(E9*Réglages!$B$4,2))</f>
        <v/>
      </c>
      <c r="J9" s="5" t="str">
        <f aca="false">IF(E9="","",F9+G9+H9+I9)</f>
        <v/>
      </c>
      <c r="K9" s="5" t="str">
        <f aca="false">IF(E9="","",E9-J9)</f>
        <v/>
      </c>
      <c r="L9" s="6" t="str">
        <f aca="false">IF(A9="","",DATE(YEAR(A9),MONTH(A9),1))</f>
        <v/>
      </c>
      <c r="M9" s="3"/>
    </row>
    <row r="10" customFormat="false" ht="15" hidden="false" customHeight="false" outlineLevel="0" collapsed="false">
      <c r="A10" s="2"/>
      <c r="B10" s="3"/>
      <c r="C10" s="3"/>
      <c r="D10" s="3"/>
      <c r="E10" s="4"/>
      <c r="F10" s="4"/>
      <c r="G10" s="4"/>
      <c r="H10" s="5" t="str">
        <f aca="false">IF(E10="","",ROUND(E10*Réglages!$B$3,2))</f>
        <v/>
      </c>
      <c r="I10" s="5" t="str">
        <f aca="false">IF(E10="","",ROUND(E10*Réglages!$B$4,2))</f>
        <v/>
      </c>
      <c r="J10" s="5" t="str">
        <f aca="false">IF(E10="","",F10+G10+H10+I10)</f>
        <v/>
      </c>
      <c r="K10" s="5" t="str">
        <f aca="false">IF(E10="","",E10-J10)</f>
        <v/>
      </c>
      <c r="L10" s="6" t="str">
        <f aca="false">IF(A10="","",DATE(YEAR(A10),MONTH(A10),1))</f>
        <v/>
      </c>
      <c r="M10" s="3"/>
    </row>
    <row r="11" customFormat="false" ht="15" hidden="false" customHeight="false" outlineLevel="0" collapsed="false">
      <c r="A11" s="2"/>
      <c r="B11" s="3"/>
      <c r="C11" s="3"/>
      <c r="D11" s="3"/>
      <c r="E11" s="4"/>
      <c r="F11" s="4"/>
      <c r="G11" s="4"/>
      <c r="H11" s="5" t="str">
        <f aca="false">IF(E11="","",ROUND(E11*Réglages!$B$3,2))</f>
        <v/>
      </c>
      <c r="I11" s="5" t="str">
        <f aca="false">IF(E11="","",ROUND(E11*Réglages!$B$4,2))</f>
        <v/>
      </c>
      <c r="J11" s="5" t="str">
        <f aca="false">IF(E11="","",F11+G11+H11+I11)</f>
        <v/>
      </c>
      <c r="K11" s="5" t="str">
        <f aca="false">IF(E11="","",E11-J11)</f>
        <v/>
      </c>
      <c r="L11" s="6" t="str">
        <f aca="false">IF(A11="","",DATE(YEAR(A11),MONTH(A11),1))</f>
        <v/>
      </c>
      <c r="M11" s="3"/>
    </row>
    <row r="12" customFormat="false" ht="15" hidden="false" customHeight="false" outlineLevel="0" collapsed="false">
      <c r="A12" s="2"/>
      <c r="B12" s="3"/>
      <c r="C12" s="3"/>
      <c r="D12" s="3"/>
      <c r="E12" s="4"/>
      <c r="F12" s="4"/>
      <c r="G12" s="4"/>
      <c r="H12" s="5" t="str">
        <f aca="false">IF(E12="","",ROUND(E12*Réglages!$B$3,2))</f>
        <v/>
      </c>
      <c r="I12" s="5" t="str">
        <f aca="false">IF(E12="","",ROUND(E12*Réglages!$B$4,2))</f>
        <v/>
      </c>
      <c r="J12" s="5" t="str">
        <f aca="false">IF(E12="","",F12+G12+H12+I12)</f>
        <v/>
      </c>
      <c r="K12" s="5" t="str">
        <f aca="false">IF(E12="","",E12-J12)</f>
        <v/>
      </c>
      <c r="L12" s="6" t="str">
        <f aca="false">IF(A12="","",DATE(YEAR(A12),MONTH(A12),1))</f>
        <v/>
      </c>
      <c r="M12" s="3"/>
    </row>
    <row r="13" customFormat="false" ht="15" hidden="false" customHeight="false" outlineLevel="0" collapsed="false">
      <c r="A13" s="2"/>
      <c r="B13" s="3"/>
      <c r="C13" s="3"/>
      <c r="D13" s="3"/>
      <c r="E13" s="4"/>
      <c r="F13" s="4"/>
      <c r="G13" s="4"/>
      <c r="H13" s="5" t="str">
        <f aca="false">IF(E13="","",ROUND(E13*Réglages!$B$3,2))</f>
        <v/>
      </c>
      <c r="I13" s="5" t="str">
        <f aca="false">IF(E13="","",ROUND(E13*Réglages!$B$4,2))</f>
        <v/>
      </c>
      <c r="J13" s="5" t="str">
        <f aca="false">IF(E13="","",F13+G13+H13+I13)</f>
        <v/>
      </c>
      <c r="K13" s="5" t="str">
        <f aca="false">IF(E13="","",E13-J13)</f>
        <v/>
      </c>
      <c r="L13" s="6" t="str">
        <f aca="false">IF(A13="","",DATE(YEAR(A13),MONTH(A13),1))</f>
        <v/>
      </c>
      <c r="M13" s="3"/>
    </row>
    <row r="14" customFormat="false" ht="15" hidden="false" customHeight="false" outlineLevel="0" collapsed="false">
      <c r="A14" s="2"/>
      <c r="B14" s="3"/>
      <c r="C14" s="3"/>
      <c r="D14" s="3"/>
      <c r="E14" s="4"/>
      <c r="F14" s="4"/>
      <c r="G14" s="4"/>
      <c r="H14" s="5" t="str">
        <f aca="false">IF(E14="","",ROUND(E14*Réglages!$B$3,2))</f>
        <v/>
      </c>
      <c r="I14" s="5" t="str">
        <f aca="false">IF(E14="","",ROUND(E14*Réglages!$B$4,2))</f>
        <v/>
      </c>
      <c r="J14" s="5" t="str">
        <f aca="false">IF(E14="","",F14+G14+H14+I14)</f>
        <v/>
      </c>
      <c r="K14" s="5" t="str">
        <f aca="false">IF(E14="","",E14-J14)</f>
        <v/>
      </c>
      <c r="L14" s="6" t="str">
        <f aca="false">IF(A14="","",DATE(YEAR(A14),MONTH(A14),1))</f>
        <v/>
      </c>
      <c r="M14" s="3"/>
    </row>
    <row r="15" customFormat="false" ht="15" hidden="false" customHeight="false" outlineLevel="0" collapsed="false">
      <c r="A15" s="2"/>
      <c r="B15" s="3"/>
      <c r="C15" s="3"/>
      <c r="D15" s="3"/>
      <c r="E15" s="4"/>
      <c r="F15" s="4"/>
      <c r="G15" s="4"/>
      <c r="H15" s="5" t="str">
        <f aca="false">IF(E15="","",ROUND(E15*Réglages!$B$3,2))</f>
        <v/>
      </c>
      <c r="I15" s="5" t="str">
        <f aca="false">IF(E15="","",ROUND(E15*Réglages!$B$4,2))</f>
        <v/>
      </c>
      <c r="J15" s="5" t="str">
        <f aca="false">IF(E15="","",F15+G15+H15+I15)</f>
        <v/>
      </c>
      <c r="K15" s="5" t="str">
        <f aca="false">IF(E15="","",E15-J15)</f>
        <v/>
      </c>
      <c r="L15" s="6" t="str">
        <f aca="false">IF(A15="","",DATE(YEAR(A15),MONTH(A15),1))</f>
        <v/>
      </c>
      <c r="M15" s="3"/>
    </row>
    <row r="16" customFormat="false" ht="15" hidden="false" customHeight="false" outlineLevel="0" collapsed="false">
      <c r="A16" s="2"/>
      <c r="B16" s="3"/>
      <c r="C16" s="3"/>
      <c r="D16" s="3"/>
      <c r="E16" s="4"/>
      <c r="F16" s="4"/>
      <c r="G16" s="4"/>
      <c r="H16" s="5" t="str">
        <f aca="false">IF(E16="","",ROUND(E16*Réglages!$B$3,2))</f>
        <v/>
      </c>
      <c r="I16" s="5" t="str">
        <f aca="false">IF(E16="","",ROUND(E16*Réglages!$B$4,2))</f>
        <v/>
      </c>
      <c r="J16" s="5" t="str">
        <f aca="false">IF(E16="","",F16+G16+H16+I16)</f>
        <v/>
      </c>
      <c r="K16" s="5" t="str">
        <f aca="false">IF(E16="","",E16-J16)</f>
        <v/>
      </c>
      <c r="L16" s="6" t="str">
        <f aca="false">IF(A16="","",DATE(YEAR(A16),MONTH(A16),1))</f>
        <v/>
      </c>
      <c r="M16" s="3"/>
    </row>
    <row r="17" customFormat="false" ht="15" hidden="false" customHeight="false" outlineLevel="0" collapsed="false">
      <c r="A17" s="2"/>
      <c r="B17" s="3"/>
      <c r="C17" s="3"/>
      <c r="D17" s="3"/>
      <c r="E17" s="4"/>
      <c r="F17" s="4"/>
      <c r="G17" s="4"/>
      <c r="H17" s="5" t="str">
        <f aca="false">IF(E17="","",ROUND(E17*Réglages!$B$3,2))</f>
        <v/>
      </c>
      <c r="I17" s="5" t="str">
        <f aca="false">IF(E17="","",ROUND(E17*Réglages!$B$4,2))</f>
        <v/>
      </c>
      <c r="J17" s="5" t="str">
        <f aca="false">IF(E17="","",F17+G17+H17+I17)</f>
        <v/>
      </c>
      <c r="K17" s="5" t="str">
        <f aca="false">IF(E17="","",E17-J17)</f>
        <v/>
      </c>
      <c r="L17" s="6" t="str">
        <f aca="false">IF(A17="","",DATE(YEAR(A17),MONTH(A17),1))</f>
        <v/>
      </c>
      <c r="M17" s="3"/>
    </row>
    <row r="18" customFormat="false" ht="15" hidden="false" customHeight="false" outlineLevel="0" collapsed="false">
      <c r="A18" s="2"/>
      <c r="B18" s="3"/>
      <c r="C18" s="3"/>
      <c r="D18" s="3"/>
      <c r="E18" s="4"/>
      <c r="F18" s="4"/>
      <c r="G18" s="4"/>
      <c r="H18" s="5" t="str">
        <f aca="false">IF(E18="","",ROUND(E18*Réglages!$B$3,2))</f>
        <v/>
      </c>
      <c r="I18" s="5" t="str">
        <f aca="false">IF(E18="","",ROUND(E18*Réglages!$B$4,2))</f>
        <v/>
      </c>
      <c r="J18" s="5" t="str">
        <f aca="false">IF(E18="","",F18+G18+H18+I18)</f>
        <v/>
      </c>
      <c r="K18" s="5" t="str">
        <f aca="false">IF(E18="","",E18-J18)</f>
        <v/>
      </c>
      <c r="L18" s="6" t="str">
        <f aca="false">IF(A18="","",DATE(YEAR(A18),MONTH(A18),1))</f>
        <v/>
      </c>
      <c r="M18" s="3"/>
    </row>
    <row r="19" customFormat="false" ht="15" hidden="false" customHeight="false" outlineLevel="0" collapsed="false">
      <c r="A19" s="2"/>
      <c r="B19" s="3"/>
      <c r="C19" s="3"/>
      <c r="D19" s="3"/>
      <c r="E19" s="4"/>
      <c r="F19" s="4"/>
      <c r="G19" s="4"/>
      <c r="H19" s="5" t="str">
        <f aca="false">IF(E19="","",ROUND(E19*Réglages!$B$3,2))</f>
        <v/>
      </c>
      <c r="I19" s="5" t="str">
        <f aca="false">IF(E19="","",ROUND(E19*Réglages!$B$4,2))</f>
        <v/>
      </c>
      <c r="J19" s="5" t="str">
        <f aca="false">IF(E19="","",F19+G19+H19+I19)</f>
        <v/>
      </c>
      <c r="K19" s="5" t="str">
        <f aca="false">IF(E19="","",E19-J19)</f>
        <v/>
      </c>
      <c r="L19" s="6" t="str">
        <f aca="false">IF(A19="","",DATE(YEAR(A19),MONTH(A19),1))</f>
        <v/>
      </c>
      <c r="M19" s="3"/>
    </row>
    <row r="20" customFormat="false" ht="15" hidden="false" customHeight="false" outlineLevel="0" collapsed="false">
      <c r="A20" s="2"/>
      <c r="B20" s="3"/>
      <c r="C20" s="3"/>
      <c r="D20" s="3"/>
      <c r="E20" s="4"/>
      <c r="F20" s="4"/>
      <c r="G20" s="4"/>
      <c r="H20" s="5" t="str">
        <f aca="false">IF(E20="","",ROUND(E20*Réglages!$B$3,2))</f>
        <v/>
      </c>
      <c r="I20" s="5" t="str">
        <f aca="false">IF(E20="","",ROUND(E20*Réglages!$B$4,2))</f>
        <v/>
      </c>
      <c r="J20" s="5" t="str">
        <f aca="false">IF(E20="","",F20+G20+H20+I20)</f>
        <v/>
      </c>
      <c r="K20" s="5" t="str">
        <f aca="false">IF(E20="","",E20-J20)</f>
        <v/>
      </c>
      <c r="L20" s="6" t="str">
        <f aca="false">IF(A20="","",DATE(YEAR(A20),MONTH(A20),1))</f>
        <v/>
      </c>
      <c r="M20" s="3"/>
    </row>
    <row r="21" customFormat="false" ht="15" hidden="false" customHeight="false" outlineLevel="0" collapsed="false">
      <c r="A21" s="2"/>
      <c r="B21" s="3"/>
      <c r="C21" s="3"/>
      <c r="D21" s="3"/>
      <c r="E21" s="4"/>
      <c r="F21" s="4"/>
      <c r="G21" s="4"/>
      <c r="H21" s="5" t="str">
        <f aca="false">IF(E21="","",ROUND(E21*Réglages!$B$3,2))</f>
        <v/>
      </c>
      <c r="I21" s="5" t="str">
        <f aca="false">IF(E21="","",ROUND(E21*Réglages!$B$4,2))</f>
        <v/>
      </c>
      <c r="J21" s="5" t="str">
        <f aca="false">IF(E21="","",F21+G21+H21+I21)</f>
        <v/>
      </c>
      <c r="K21" s="5" t="str">
        <f aca="false">IF(E21="","",E21-J21)</f>
        <v/>
      </c>
      <c r="L21" s="6" t="str">
        <f aca="false">IF(A21="","",DATE(YEAR(A21),MONTH(A21),1))</f>
        <v/>
      </c>
      <c r="M21" s="3"/>
    </row>
    <row r="22" customFormat="false" ht="15" hidden="false" customHeight="false" outlineLevel="0" collapsed="false">
      <c r="A22" s="2"/>
      <c r="B22" s="3"/>
      <c r="C22" s="3"/>
      <c r="D22" s="3"/>
      <c r="E22" s="4"/>
      <c r="F22" s="4"/>
      <c r="G22" s="4"/>
      <c r="H22" s="5" t="str">
        <f aca="false">IF(E22="","",ROUND(E22*Réglages!$B$3,2))</f>
        <v/>
      </c>
      <c r="I22" s="5" t="str">
        <f aca="false">IF(E22="","",ROUND(E22*Réglages!$B$4,2))</f>
        <v/>
      </c>
      <c r="J22" s="5" t="str">
        <f aca="false">IF(E22="","",F22+G22+H22+I22)</f>
        <v/>
      </c>
      <c r="K22" s="5" t="str">
        <f aca="false">IF(E22="","",E22-J22)</f>
        <v/>
      </c>
      <c r="L22" s="6" t="str">
        <f aca="false">IF(A22="","",DATE(YEAR(A22),MONTH(A22),1))</f>
        <v/>
      </c>
      <c r="M22" s="3"/>
    </row>
    <row r="23" customFormat="false" ht="15" hidden="false" customHeight="false" outlineLevel="0" collapsed="false">
      <c r="A23" s="2"/>
      <c r="B23" s="3"/>
      <c r="C23" s="3"/>
      <c r="D23" s="3"/>
      <c r="E23" s="4"/>
      <c r="F23" s="4"/>
      <c r="G23" s="4"/>
      <c r="H23" s="5" t="str">
        <f aca="false">IF(E23="","",ROUND(E23*Réglages!$B$3,2))</f>
        <v/>
      </c>
      <c r="I23" s="5" t="str">
        <f aca="false">IF(E23="","",ROUND(E23*Réglages!$B$4,2))</f>
        <v/>
      </c>
      <c r="J23" s="5" t="str">
        <f aca="false">IF(E23="","",F23+G23+H23+I23)</f>
        <v/>
      </c>
      <c r="K23" s="5" t="str">
        <f aca="false">IF(E23="","",E23-J23)</f>
        <v/>
      </c>
      <c r="L23" s="6" t="str">
        <f aca="false">IF(A23="","",DATE(YEAR(A23),MONTH(A23),1))</f>
        <v/>
      </c>
      <c r="M23" s="3"/>
    </row>
    <row r="24" customFormat="false" ht="15" hidden="false" customHeight="false" outlineLevel="0" collapsed="false">
      <c r="A24" s="2"/>
      <c r="B24" s="3"/>
      <c r="C24" s="3"/>
      <c r="D24" s="3"/>
      <c r="E24" s="4"/>
      <c r="F24" s="4"/>
      <c r="G24" s="4"/>
      <c r="H24" s="5" t="str">
        <f aca="false">IF(E24="","",ROUND(E24*Réglages!$B$3,2))</f>
        <v/>
      </c>
      <c r="I24" s="5" t="str">
        <f aca="false">IF(E24="","",ROUND(E24*Réglages!$B$4,2))</f>
        <v/>
      </c>
      <c r="J24" s="5" t="str">
        <f aca="false">IF(E24="","",F24+G24+H24+I24)</f>
        <v/>
      </c>
      <c r="K24" s="5" t="str">
        <f aca="false">IF(E24="","",E24-J24)</f>
        <v/>
      </c>
      <c r="L24" s="6" t="str">
        <f aca="false">IF(A24="","",DATE(YEAR(A24),MONTH(A24),1))</f>
        <v/>
      </c>
      <c r="M24" s="3"/>
    </row>
    <row r="25" customFormat="false" ht="15" hidden="false" customHeight="false" outlineLevel="0" collapsed="false">
      <c r="A25" s="2"/>
      <c r="B25" s="3"/>
      <c r="C25" s="3"/>
      <c r="D25" s="3"/>
      <c r="E25" s="4"/>
      <c r="F25" s="4"/>
      <c r="G25" s="4"/>
      <c r="H25" s="5" t="str">
        <f aca="false">IF(E25="","",ROUND(E25*Réglages!$B$3,2))</f>
        <v/>
      </c>
      <c r="I25" s="5" t="str">
        <f aca="false">IF(E25="","",ROUND(E25*Réglages!$B$4,2))</f>
        <v/>
      </c>
      <c r="J25" s="5" t="str">
        <f aca="false">IF(E25="","",F25+G25+H25+I25)</f>
        <v/>
      </c>
      <c r="K25" s="5" t="str">
        <f aca="false">IF(E25="","",E25-J25)</f>
        <v/>
      </c>
      <c r="L25" s="6" t="str">
        <f aca="false">IF(A25="","",DATE(YEAR(A25),MONTH(A25),1))</f>
        <v/>
      </c>
      <c r="M25" s="3"/>
    </row>
    <row r="26" customFormat="false" ht="15" hidden="false" customHeight="false" outlineLevel="0" collapsed="false">
      <c r="A26" s="2"/>
      <c r="B26" s="3"/>
      <c r="C26" s="3"/>
      <c r="D26" s="3"/>
      <c r="E26" s="4"/>
      <c r="F26" s="4"/>
      <c r="G26" s="4"/>
      <c r="H26" s="5" t="str">
        <f aca="false">IF(E26="","",ROUND(E26*Réglages!$B$3,2))</f>
        <v/>
      </c>
      <c r="I26" s="5" t="str">
        <f aca="false">IF(E26="","",ROUND(E26*Réglages!$B$4,2))</f>
        <v/>
      </c>
      <c r="J26" s="5" t="str">
        <f aca="false">IF(E26="","",F26+G26+H26+I26)</f>
        <v/>
      </c>
      <c r="K26" s="5" t="str">
        <f aca="false">IF(E26="","",E26-J26)</f>
        <v/>
      </c>
      <c r="L26" s="6" t="str">
        <f aca="false">IF(A26="","",DATE(YEAR(A26),MONTH(A26),1))</f>
        <v/>
      </c>
      <c r="M26" s="3"/>
    </row>
    <row r="27" customFormat="false" ht="15" hidden="false" customHeight="false" outlineLevel="0" collapsed="false">
      <c r="A27" s="2"/>
      <c r="B27" s="3"/>
      <c r="C27" s="3"/>
      <c r="D27" s="3"/>
      <c r="E27" s="4"/>
      <c r="F27" s="4"/>
      <c r="G27" s="4"/>
      <c r="H27" s="5" t="str">
        <f aca="false">IF(E27="","",ROUND(E27*Réglages!$B$3,2))</f>
        <v/>
      </c>
      <c r="I27" s="5" t="str">
        <f aca="false">IF(E27="","",ROUND(E27*Réglages!$B$4,2))</f>
        <v/>
      </c>
      <c r="J27" s="5" t="str">
        <f aca="false">IF(E27="","",F27+G27+H27+I27)</f>
        <v/>
      </c>
      <c r="K27" s="5" t="str">
        <f aca="false">IF(E27="","",E27-J27)</f>
        <v/>
      </c>
      <c r="L27" s="6" t="str">
        <f aca="false">IF(A27="","",DATE(YEAR(A27),MONTH(A27),1))</f>
        <v/>
      </c>
      <c r="M27" s="3"/>
    </row>
    <row r="28" customFormat="false" ht="15" hidden="false" customHeight="false" outlineLevel="0" collapsed="false">
      <c r="A28" s="2"/>
      <c r="B28" s="3"/>
      <c r="C28" s="3"/>
      <c r="D28" s="3"/>
      <c r="E28" s="4"/>
      <c r="F28" s="4"/>
      <c r="G28" s="4"/>
      <c r="H28" s="5" t="str">
        <f aca="false">IF(E28="","",ROUND(E28*Réglages!$B$3,2))</f>
        <v/>
      </c>
      <c r="I28" s="5" t="str">
        <f aca="false">IF(E28="","",ROUND(E28*Réglages!$B$4,2))</f>
        <v/>
      </c>
      <c r="J28" s="5" t="str">
        <f aca="false">IF(E28="","",F28+G28+H28+I28)</f>
        <v/>
      </c>
      <c r="K28" s="5" t="str">
        <f aca="false">IF(E28="","",E28-J28)</f>
        <v/>
      </c>
      <c r="L28" s="6" t="str">
        <f aca="false">IF(A28="","",DATE(YEAR(A28),MONTH(A28),1))</f>
        <v/>
      </c>
      <c r="M28" s="3"/>
    </row>
    <row r="29" customFormat="false" ht="15" hidden="false" customHeight="false" outlineLevel="0" collapsed="false">
      <c r="A29" s="2"/>
      <c r="B29" s="3"/>
      <c r="C29" s="3"/>
      <c r="D29" s="3"/>
      <c r="E29" s="4"/>
      <c r="F29" s="4"/>
      <c r="G29" s="4"/>
      <c r="H29" s="5" t="str">
        <f aca="false">IF(E29="","",ROUND(E29*Réglages!$B$3,2))</f>
        <v/>
      </c>
      <c r="I29" s="5" t="str">
        <f aca="false">IF(E29="","",ROUND(E29*Réglages!$B$4,2))</f>
        <v/>
      </c>
      <c r="J29" s="5" t="str">
        <f aca="false">IF(E29="","",F29+G29+H29+I29)</f>
        <v/>
      </c>
      <c r="K29" s="5" t="str">
        <f aca="false">IF(E29="","",E29-J29)</f>
        <v/>
      </c>
      <c r="L29" s="6" t="str">
        <f aca="false">IF(A29="","",DATE(YEAR(A29),MONTH(A29),1))</f>
        <v/>
      </c>
      <c r="M29" s="3"/>
    </row>
    <row r="30" customFormat="false" ht="15" hidden="false" customHeight="false" outlineLevel="0" collapsed="false">
      <c r="A30" s="2"/>
      <c r="B30" s="3"/>
      <c r="C30" s="3"/>
      <c r="D30" s="3"/>
      <c r="E30" s="4"/>
      <c r="F30" s="4"/>
      <c r="G30" s="4"/>
      <c r="H30" s="5" t="str">
        <f aca="false">IF(E30="","",ROUND(E30*Réglages!$B$3,2))</f>
        <v/>
      </c>
      <c r="I30" s="5" t="str">
        <f aca="false">IF(E30="","",ROUND(E30*Réglages!$B$4,2))</f>
        <v/>
      </c>
      <c r="J30" s="5" t="str">
        <f aca="false">IF(E30="","",F30+G30+H30+I30)</f>
        <v/>
      </c>
      <c r="K30" s="5" t="str">
        <f aca="false">IF(E30="","",E30-J30)</f>
        <v/>
      </c>
      <c r="L30" s="6" t="str">
        <f aca="false">IF(A30="","",DATE(YEAR(A30),MONTH(A30),1))</f>
        <v/>
      </c>
      <c r="M30" s="3"/>
    </row>
    <row r="31" customFormat="false" ht="15" hidden="false" customHeight="false" outlineLevel="0" collapsed="false">
      <c r="A31" s="2"/>
      <c r="B31" s="3"/>
      <c r="C31" s="3"/>
      <c r="D31" s="3"/>
      <c r="E31" s="4"/>
      <c r="F31" s="4"/>
      <c r="G31" s="4"/>
      <c r="H31" s="5" t="str">
        <f aca="false">IF(E31="","",ROUND(E31*Réglages!$B$3,2))</f>
        <v/>
      </c>
      <c r="I31" s="5" t="str">
        <f aca="false">IF(E31="","",ROUND(E31*Réglages!$B$4,2))</f>
        <v/>
      </c>
      <c r="J31" s="5" t="str">
        <f aca="false">IF(E31="","",F31+G31+H31+I31)</f>
        <v/>
      </c>
      <c r="K31" s="5" t="str">
        <f aca="false">IF(E31="","",E31-J31)</f>
        <v/>
      </c>
      <c r="L31" s="6" t="str">
        <f aca="false">IF(A31="","",DATE(YEAR(A31),MONTH(A31),1))</f>
        <v/>
      </c>
      <c r="M31" s="3"/>
    </row>
    <row r="32" customFormat="false" ht="15" hidden="false" customHeight="false" outlineLevel="0" collapsed="false">
      <c r="A32" s="2"/>
      <c r="B32" s="3"/>
      <c r="C32" s="3"/>
      <c r="D32" s="3"/>
      <c r="E32" s="4"/>
      <c r="F32" s="4"/>
      <c r="G32" s="4"/>
      <c r="H32" s="5" t="str">
        <f aca="false">IF(E32="","",ROUND(E32*Réglages!$B$3,2))</f>
        <v/>
      </c>
      <c r="I32" s="5" t="str">
        <f aca="false">IF(E32="","",ROUND(E32*Réglages!$B$4,2))</f>
        <v/>
      </c>
      <c r="J32" s="5" t="str">
        <f aca="false">IF(E32="","",F32+G32+H32+I32)</f>
        <v/>
      </c>
      <c r="K32" s="5" t="str">
        <f aca="false">IF(E32="","",E32-J32)</f>
        <v/>
      </c>
      <c r="L32" s="6" t="str">
        <f aca="false">IF(A32="","",DATE(YEAR(A32),MONTH(A32),1))</f>
        <v/>
      </c>
      <c r="M32" s="3"/>
    </row>
    <row r="33" customFormat="false" ht="15" hidden="false" customHeight="false" outlineLevel="0" collapsed="false">
      <c r="A33" s="2"/>
      <c r="B33" s="3"/>
      <c r="C33" s="3"/>
      <c r="D33" s="3"/>
      <c r="E33" s="4"/>
      <c r="F33" s="4"/>
      <c r="G33" s="4"/>
      <c r="H33" s="5" t="str">
        <f aca="false">IF(E33="","",ROUND(E33*Réglages!$B$3,2))</f>
        <v/>
      </c>
      <c r="I33" s="5" t="str">
        <f aca="false">IF(E33="","",ROUND(E33*Réglages!$B$4,2))</f>
        <v/>
      </c>
      <c r="J33" s="5" t="str">
        <f aca="false">IF(E33="","",F33+G33+H33+I33)</f>
        <v/>
      </c>
      <c r="K33" s="5" t="str">
        <f aca="false">IF(E33="","",E33-J33)</f>
        <v/>
      </c>
      <c r="L33" s="6" t="str">
        <f aca="false">IF(A33="","",DATE(YEAR(A33),MONTH(A33),1))</f>
        <v/>
      </c>
      <c r="M33" s="3"/>
    </row>
    <row r="34" customFormat="false" ht="15" hidden="false" customHeight="false" outlineLevel="0" collapsed="false">
      <c r="A34" s="2"/>
      <c r="B34" s="3"/>
      <c r="C34" s="3"/>
      <c r="D34" s="3"/>
      <c r="E34" s="4"/>
      <c r="F34" s="4"/>
      <c r="G34" s="4"/>
      <c r="H34" s="5" t="str">
        <f aca="false">IF(E34="","",ROUND(E34*Réglages!$B$3,2))</f>
        <v/>
      </c>
      <c r="I34" s="5" t="str">
        <f aca="false">IF(E34="","",ROUND(E34*Réglages!$B$4,2))</f>
        <v/>
      </c>
      <c r="J34" s="5" t="str">
        <f aca="false">IF(E34="","",F34+G34+H34+I34)</f>
        <v/>
      </c>
      <c r="K34" s="5" t="str">
        <f aca="false">IF(E34="","",E34-J34)</f>
        <v/>
      </c>
      <c r="L34" s="6" t="str">
        <f aca="false">IF(A34="","",DATE(YEAR(A34),MONTH(A34),1))</f>
        <v/>
      </c>
      <c r="M34" s="3"/>
    </row>
    <row r="35" customFormat="false" ht="15" hidden="false" customHeight="false" outlineLevel="0" collapsed="false">
      <c r="A35" s="2"/>
      <c r="B35" s="3"/>
      <c r="C35" s="3"/>
      <c r="D35" s="3"/>
      <c r="E35" s="4"/>
      <c r="F35" s="4"/>
      <c r="G35" s="4"/>
      <c r="H35" s="5" t="str">
        <f aca="false">IF(E35="","",ROUND(E35*Réglages!$B$3,2))</f>
        <v/>
      </c>
      <c r="I35" s="5" t="str">
        <f aca="false">IF(E35="","",ROUND(E35*Réglages!$B$4,2))</f>
        <v/>
      </c>
      <c r="J35" s="5" t="str">
        <f aca="false">IF(E35="","",F35+G35+H35+I35)</f>
        <v/>
      </c>
      <c r="K35" s="5" t="str">
        <f aca="false">IF(E35="","",E35-J35)</f>
        <v/>
      </c>
      <c r="L35" s="6" t="str">
        <f aca="false">IF(A35="","",DATE(YEAR(A35),MONTH(A35),1))</f>
        <v/>
      </c>
      <c r="M35" s="3"/>
    </row>
    <row r="36" customFormat="false" ht="15" hidden="false" customHeight="false" outlineLevel="0" collapsed="false">
      <c r="A36" s="2"/>
      <c r="B36" s="3"/>
      <c r="C36" s="3"/>
      <c r="D36" s="3"/>
      <c r="E36" s="4"/>
      <c r="F36" s="4"/>
      <c r="G36" s="4"/>
      <c r="H36" s="5" t="str">
        <f aca="false">IF(E36="","",ROUND(E36*Réglages!$B$3,2))</f>
        <v/>
      </c>
      <c r="I36" s="5" t="str">
        <f aca="false">IF(E36="","",ROUND(E36*Réglages!$B$4,2))</f>
        <v/>
      </c>
      <c r="J36" s="5" t="str">
        <f aca="false">IF(E36="","",F36+G36+H36+I36)</f>
        <v/>
      </c>
      <c r="K36" s="5" t="str">
        <f aca="false">IF(E36="","",E36-J36)</f>
        <v/>
      </c>
      <c r="L36" s="6" t="str">
        <f aca="false">IF(A36="","",DATE(YEAR(A36),MONTH(A36),1))</f>
        <v/>
      </c>
      <c r="M36" s="3"/>
    </row>
    <row r="37" customFormat="false" ht="15" hidden="false" customHeight="false" outlineLevel="0" collapsed="false">
      <c r="A37" s="2"/>
      <c r="B37" s="3"/>
      <c r="C37" s="3"/>
      <c r="D37" s="3"/>
      <c r="E37" s="4"/>
      <c r="F37" s="4"/>
      <c r="G37" s="4"/>
      <c r="H37" s="5" t="str">
        <f aca="false">IF(E37="","",ROUND(E37*Réglages!$B$3,2))</f>
        <v/>
      </c>
      <c r="I37" s="5" t="str">
        <f aca="false">IF(E37="","",ROUND(E37*Réglages!$B$4,2))</f>
        <v/>
      </c>
      <c r="J37" s="5" t="str">
        <f aca="false">IF(E37="","",F37+G37+H37+I37)</f>
        <v/>
      </c>
      <c r="K37" s="5" t="str">
        <f aca="false">IF(E37="","",E37-J37)</f>
        <v/>
      </c>
      <c r="L37" s="6" t="str">
        <f aca="false">IF(A37="","",DATE(YEAR(A37),MONTH(A37),1))</f>
        <v/>
      </c>
      <c r="M37" s="3"/>
    </row>
    <row r="38" customFormat="false" ht="15" hidden="false" customHeight="false" outlineLevel="0" collapsed="false">
      <c r="A38" s="2"/>
      <c r="B38" s="3"/>
      <c r="C38" s="3"/>
      <c r="D38" s="3"/>
      <c r="E38" s="4"/>
      <c r="F38" s="4"/>
      <c r="G38" s="4"/>
      <c r="H38" s="5" t="str">
        <f aca="false">IF(E38="","",ROUND(E38*Réglages!$B$3,2))</f>
        <v/>
      </c>
      <c r="I38" s="5" t="str">
        <f aca="false">IF(E38="","",ROUND(E38*Réglages!$B$4,2))</f>
        <v/>
      </c>
      <c r="J38" s="5" t="str">
        <f aca="false">IF(E38="","",F38+G38+H38+I38)</f>
        <v/>
      </c>
      <c r="K38" s="5" t="str">
        <f aca="false">IF(E38="","",E38-J38)</f>
        <v/>
      </c>
      <c r="L38" s="6" t="str">
        <f aca="false">IF(A38="","",DATE(YEAR(A38),MONTH(A38),1))</f>
        <v/>
      </c>
      <c r="M38" s="3"/>
    </row>
    <row r="39" customFormat="false" ht="15" hidden="false" customHeight="false" outlineLevel="0" collapsed="false">
      <c r="A39" s="2"/>
      <c r="B39" s="3"/>
      <c r="C39" s="3"/>
      <c r="D39" s="3"/>
      <c r="E39" s="4"/>
      <c r="F39" s="4"/>
      <c r="G39" s="4"/>
      <c r="H39" s="5" t="str">
        <f aca="false">IF(E39="","",ROUND(E39*Réglages!$B$3,2))</f>
        <v/>
      </c>
      <c r="I39" s="5" t="str">
        <f aca="false">IF(E39="","",ROUND(E39*Réglages!$B$4,2))</f>
        <v/>
      </c>
      <c r="J39" s="5" t="str">
        <f aca="false">IF(E39="","",F39+G39+H39+I39)</f>
        <v/>
      </c>
      <c r="K39" s="5" t="str">
        <f aca="false">IF(E39="","",E39-J39)</f>
        <v/>
      </c>
      <c r="L39" s="6" t="str">
        <f aca="false">IF(A39="","",DATE(YEAR(A39),MONTH(A39),1))</f>
        <v/>
      </c>
      <c r="M39" s="3"/>
    </row>
    <row r="40" customFormat="false" ht="15" hidden="false" customHeight="false" outlineLevel="0" collapsed="false">
      <c r="A40" s="2"/>
      <c r="B40" s="3"/>
      <c r="C40" s="3"/>
      <c r="D40" s="3"/>
      <c r="E40" s="4"/>
      <c r="F40" s="4"/>
      <c r="G40" s="4"/>
      <c r="H40" s="5" t="str">
        <f aca="false">IF(E40="","",ROUND(E40*Réglages!$B$3,2))</f>
        <v/>
      </c>
      <c r="I40" s="5" t="str">
        <f aca="false">IF(E40="","",ROUND(E40*Réglages!$B$4,2))</f>
        <v/>
      </c>
      <c r="J40" s="5" t="str">
        <f aca="false">IF(E40="","",F40+G40+H40+I40)</f>
        <v/>
      </c>
      <c r="K40" s="5" t="str">
        <f aca="false">IF(E40="","",E40-J40)</f>
        <v/>
      </c>
      <c r="L40" s="6" t="str">
        <f aca="false">IF(A40="","",DATE(YEAR(A40),MONTH(A40),1))</f>
        <v/>
      </c>
      <c r="M40" s="3"/>
    </row>
    <row r="41" customFormat="false" ht="15" hidden="false" customHeight="false" outlineLevel="0" collapsed="false">
      <c r="A41" s="2"/>
      <c r="B41" s="3"/>
      <c r="C41" s="3"/>
      <c r="D41" s="3"/>
      <c r="E41" s="4"/>
      <c r="F41" s="4"/>
      <c r="G41" s="4"/>
      <c r="H41" s="5" t="str">
        <f aca="false">IF(E41="","",ROUND(E41*Réglages!$B$3,2))</f>
        <v/>
      </c>
      <c r="I41" s="5" t="str">
        <f aca="false">IF(E41="","",ROUND(E41*Réglages!$B$4,2))</f>
        <v/>
      </c>
      <c r="J41" s="5" t="str">
        <f aca="false">IF(E41="","",F41+G41+H41+I41)</f>
        <v/>
      </c>
      <c r="K41" s="5" t="str">
        <f aca="false">IF(E41="","",E41-J41)</f>
        <v/>
      </c>
      <c r="L41" s="6" t="str">
        <f aca="false">IF(A41="","",DATE(YEAR(A41),MONTH(A41),1))</f>
        <v/>
      </c>
      <c r="M41" s="3"/>
    </row>
    <row r="42" customFormat="false" ht="15" hidden="false" customHeight="false" outlineLevel="0" collapsed="false">
      <c r="A42" s="2"/>
      <c r="B42" s="3"/>
      <c r="C42" s="3"/>
      <c r="D42" s="3"/>
      <c r="E42" s="4"/>
      <c r="F42" s="4"/>
      <c r="G42" s="4"/>
      <c r="H42" s="5" t="str">
        <f aca="false">IF(E42="","",ROUND(E42*Réglages!$B$3,2))</f>
        <v/>
      </c>
      <c r="I42" s="5" t="str">
        <f aca="false">IF(E42="","",ROUND(E42*Réglages!$B$4,2))</f>
        <v/>
      </c>
      <c r="J42" s="5" t="str">
        <f aca="false">IF(E42="","",F42+G42+H42+I42)</f>
        <v/>
      </c>
      <c r="K42" s="5" t="str">
        <f aca="false">IF(E42="","",E42-J42)</f>
        <v/>
      </c>
      <c r="L42" s="6" t="str">
        <f aca="false">IF(A42="","",DATE(YEAR(A42),MONTH(A42),1))</f>
        <v/>
      </c>
      <c r="M42" s="3"/>
    </row>
    <row r="43" customFormat="false" ht="15" hidden="false" customHeight="false" outlineLevel="0" collapsed="false">
      <c r="A43" s="2"/>
      <c r="B43" s="3"/>
      <c r="C43" s="3"/>
      <c r="D43" s="3"/>
      <c r="E43" s="4"/>
      <c r="F43" s="4"/>
      <c r="G43" s="4"/>
      <c r="H43" s="5" t="str">
        <f aca="false">IF(E43="","",ROUND(E43*Réglages!$B$3,2))</f>
        <v/>
      </c>
      <c r="I43" s="5" t="str">
        <f aca="false">IF(E43="","",ROUND(E43*Réglages!$B$4,2))</f>
        <v/>
      </c>
      <c r="J43" s="5" t="str">
        <f aca="false">IF(E43="","",F43+G43+H43+I43)</f>
        <v/>
      </c>
      <c r="K43" s="5" t="str">
        <f aca="false">IF(E43="","",E43-J43)</f>
        <v/>
      </c>
      <c r="L43" s="6" t="str">
        <f aca="false">IF(A43="","",DATE(YEAR(A43),MONTH(A43),1))</f>
        <v/>
      </c>
      <c r="M43" s="3"/>
    </row>
    <row r="44" customFormat="false" ht="15" hidden="false" customHeight="false" outlineLevel="0" collapsed="false">
      <c r="A44" s="2"/>
      <c r="B44" s="3"/>
      <c r="C44" s="3"/>
      <c r="D44" s="3"/>
      <c r="E44" s="4"/>
      <c r="F44" s="4"/>
      <c r="G44" s="4"/>
      <c r="H44" s="5" t="str">
        <f aca="false">IF(E44="","",ROUND(E44*Réglages!$B$3,2))</f>
        <v/>
      </c>
      <c r="I44" s="5" t="str">
        <f aca="false">IF(E44="","",ROUND(E44*Réglages!$B$4,2))</f>
        <v/>
      </c>
      <c r="J44" s="5" t="str">
        <f aca="false">IF(E44="","",F44+G44+H44+I44)</f>
        <v/>
      </c>
      <c r="K44" s="5" t="str">
        <f aca="false">IF(E44="","",E44-J44)</f>
        <v/>
      </c>
      <c r="L44" s="6" t="str">
        <f aca="false">IF(A44="","",DATE(YEAR(A44),MONTH(A44),1))</f>
        <v/>
      </c>
      <c r="M44" s="3"/>
    </row>
    <row r="45" customFormat="false" ht="15" hidden="false" customHeight="false" outlineLevel="0" collapsed="false">
      <c r="A45" s="2"/>
      <c r="B45" s="3"/>
      <c r="C45" s="3"/>
      <c r="D45" s="3"/>
      <c r="E45" s="4"/>
      <c r="F45" s="4"/>
      <c r="G45" s="4"/>
      <c r="H45" s="5" t="str">
        <f aca="false">IF(E45="","",ROUND(E45*Réglages!$B$3,2))</f>
        <v/>
      </c>
      <c r="I45" s="5" t="str">
        <f aca="false">IF(E45="","",ROUND(E45*Réglages!$B$4,2))</f>
        <v/>
      </c>
      <c r="J45" s="5" t="str">
        <f aca="false">IF(E45="","",F45+G45+H45+I45)</f>
        <v/>
      </c>
      <c r="K45" s="5" t="str">
        <f aca="false">IF(E45="","",E45-J45)</f>
        <v/>
      </c>
      <c r="L45" s="6" t="str">
        <f aca="false">IF(A45="","",DATE(YEAR(A45),MONTH(A45),1))</f>
        <v/>
      </c>
      <c r="M45" s="3"/>
    </row>
    <row r="46" customFormat="false" ht="15" hidden="false" customHeight="false" outlineLevel="0" collapsed="false">
      <c r="A46" s="2"/>
      <c r="B46" s="3"/>
      <c r="C46" s="3"/>
      <c r="D46" s="3"/>
      <c r="E46" s="4"/>
      <c r="F46" s="4"/>
      <c r="G46" s="4"/>
      <c r="H46" s="5" t="str">
        <f aca="false">IF(E46="","",ROUND(E46*Réglages!$B$3,2))</f>
        <v/>
      </c>
      <c r="I46" s="5" t="str">
        <f aca="false">IF(E46="","",ROUND(E46*Réglages!$B$4,2))</f>
        <v/>
      </c>
      <c r="J46" s="5" t="str">
        <f aca="false">IF(E46="","",F46+G46+H46+I46)</f>
        <v/>
      </c>
      <c r="K46" s="5" t="str">
        <f aca="false">IF(E46="","",E46-J46)</f>
        <v/>
      </c>
      <c r="L46" s="6" t="str">
        <f aca="false">IF(A46="","",DATE(YEAR(A46),MONTH(A46),1))</f>
        <v/>
      </c>
      <c r="M46" s="3"/>
    </row>
    <row r="47" customFormat="false" ht="15" hidden="false" customHeight="false" outlineLevel="0" collapsed="false">
      <c r="A47" s="2"/>
      <c r="B47" s="3"/>
      <c r="C47" s="3"/>
      <c r="D47" s="3"/>
      <c r="E47" s="4"/>
      <c r="F47" s="4"/>
      <c r="G47" s="4"/>
      <c r="H47" s="5" t="str">
        <f aca="false">IF(E47="","",ROUND(E47*Réglages!$B$3,2))</f>
        <v/>
      </c>
      <c r="I47" s="5" t="str">
        <f aca="false">IF(E47="","",ROUND(E47*Réglages!$B$4,2))</f>
        <v/>
      </c>
      <c r="J47" s="5" t="str">
        <f aca="false">IF(E47="","",F47+G47+H47+I47)</f>
        <v/>
      </c>
      <c r="K47" s="5" t="str">
        <f aca="false">IF(E47="","",E47-J47)</f>
        <v/>
      </c>
      <c r="L47" s="6" t="str">
        <f aca="false">IF(A47="","",DATE(YEAR(A47),MONTH(A47),1))</f>
        <v/>
      </c>
      <c r="M47" s="3"/>
    </row>
    <row r="48" customFormat="false" ht="15" hidden="false" customHeight="false" outlineLevel="0" collapsed="false">
      <c r="A48" s="2"/>
      <c r="B48" s="3"/>
      <c r="C48" s="3"/>
      <c r="D48" s="3"/>
      <c r="E48" s="4"/>
      <c r="F48" s="4"/>
      <c r="G48" s="4"/>
      <c r="H48" s="5" t="str">
        <f aca="false">IF(E48="","",ROUND(E48*Réglages!$B$3,2))</f>
        <v/>
      </c>
      <c r="I48" s="5" t="str">
        <f aca="false">IF(E48="","",ROUND(E48*Réglages!$B$4,2))</f>
        <v/>
      </c>
      <c r="J48" s="5" t="str">
        <f aca="false">IF(E48="","",F48+G48+H48+I48)</f>
        <v/>
      </c>
      <c r="K48" s="5" t="str">
        <f aca="false">IF(E48="","",E48-J48)</f>
        <v/>
      </c>
      <c r="L48" s="6" t="str">
        <f aca="false">IF(A48="","",DATE(YEAR(A48),MONTH(A48),1))</f>
        <v/>
      </c>
      <c r="M48" s="3"/>
    </row>
    <row r="49" customFormat="false" ht="15" hidden="false" customHeight="false" outlineLevel="0" collapsed="false">
      <c r="A49" s="2"/>
      <c r="B49" s="3"/>
      <c r="C49" s="3"/>
      <c r="D49" s="3"/>
      <c r="E49" s="4"/>
      <c r="F49" s="4"/>
      <c r="G49" s="4"/>
      <c r="H49" s="5" t="str">
        <f aca="false">IF(E49="","",ROUND(E49*Réglages!$B$3,2))</f>
        <v/>
      </c>
      <c r="I49" s="5" t="str">
        <f aca="false">IF(E49="","",ROUND(E49*Réglages!$B$4,2))</f>
        <v/>
      </c>
      <c r="J49" s="5" t="str">
        <f aca="false">IF(E49="","",F49+G49+H49+I49)</f>
        <v/>
      </c>
      <c r="K49" s="5" t="str">
        <f aca="false">IF(E49="","",E49-J49)</f>
        <v/>
      </c>
      <c r="L49" s="6" t="str">
        <f aca="false">IF(A49="","",DATE(YEAR(A49),MONTH(A49),1))</f>
        <v/>
      </c>
      <c r="M49" s="3"/>
    </row>
    <row r="50" customFormat="false" ht="15" hidden="false" customHeight="false" outlineLevel="0" collapsed="false">
      <c r="A50" s="2"/>
      <c r="B50" s="3"/>
      <c r="C50" s="3"/>
      <c r="D50" s="3"/>
      <c r="E50" s="4"/>
      <c r="F50" s="4"/>
      <c r="G50" s="4"/>
      <c r="H50" s="5" t="str">
        <f aca="false">IF(E50="","",ROUND(E50*Réglages!$B$3,2))</f>
        <v/>
      </c>
      <c r="I50" s="5" t="str">
        <f aca="false">IF(E50="","",ROUND(E50*Réglages!$B$4,2))</f>
        <v/>
      </c>
      <c r="J50" s="5" t="str">
        <f aca="false">IF(E50="","",F50+G50+H50+I50)</f>
        <v/>
      </c>
      <c r="K50" s="5" t="str">
        <f aca="false">IF(E50="","",E50-J50)</f>
        <v/>
      </c>
      <c r="L50" s="6" t="str">
        <f aca="false">IF(A50="","",DATE(YEAR(A50),MONTH(A50),1))</f>
        <v/>
      </c>
      <c r="M50" s="3"/>
    </row>
    <row r="51" customFormat="false" ht="15" hidden="false" customHeight="false" outlineLevel="0" collapsed="false">
      <c r="A51" s="2"/>
      <c r="B51" s="3"/>
      <c r="C51" s="3"/>
      <c r="D51" s="3"/>
      <c r="E51" s="4"/>
      <c r="F51" s="4"/>
      <c r="G51" s="4"/>
      <c r="H51" s="5" t="str">
        <f aca="false">IF(E51="","",ROUND(E51*Réglages!$B$3,2))</f>
        <v/>
      </c>
      <c r="I51" s="5" t="str">
        <f aca="false">IF(E51="","",ROUND(E51*Réglages!$B$4,2))</f>
        <v/>
      </c>
      <c r="J51" s="5" t="str">
        <f aca="false">IF(E51="","",F51+G51+H51+I51)</f>
        <v/>
      </c>
      <c r="K51" s="5" t="str">
        <f aca="false">IF(E51="","",E51-J51)</f>
        <v/>
      </c>
      <c r="L51" s="6" t="str">
        <f aca="false">IF(A51="","",DATE(YEAR(A51),MONTH(A51),1))</f>
        <v/>
      </c>
      <c r="M51" s="3"/>
    </row>
    <row r="52" customFormat="false" ht="15" hidden="false" customHeight="false" outlineLevel="0" collapsed="false">
      <c r="A52" s="2"/>
      <c r="B52" s="3"/>
      <c r="C52" s="3"/>
      <c r="D52" s="3"/>
      <c r="E52" s="4"/>
      <c r="F52" s="4"/>
      <c r="G52" s="4"/>
      <c r="H52" s="5" t="str">
        <f aca="false">IF(E52="","",ROUND(E52*Réglages!$B$3,2))</f>
        <v/>
      </c>
      <c r="I52" s="5" t="str">
        <f aca="false">IF(E52="","",ROUND(E52*Réglages!$B$4,2))</f>
        <v/>
      </c>
      <c r="J52" s="5" t="str">
        <f aca="false">IF(E52="","",F52+G52+H52+I52)</f>
        <v/>
      </c>
      <c r="K52" s="5" t="str">
        <f aca="false">IF(E52="","",E52-J52)</f>
        <v/>
      </c>
      <c r="L52" s="6" t="str">
        <f aca="false">IF(A52="","",DATE(YEAR(A52),MONTH(A52),1))</f>
        <v/>
      </c>
      <c r="M52" s="3"/>
    </row>
    <row r="53" customFormat="false" ht="15" hidden="false" customHeight="false" outlineLevel="0" collapsed="false">
      <c r="A53" s="2"/>
      <c r="B53" s="3"/>
      <c r="C53" s="3"/>
      <c r="D53" s="3"/>
      <c r="E53" s="4"/>
      <c r="F53" s="4"/>
      <c r="G53" s="4"/>
      <c r="H53" s="5" t="str">
        <f aca="false">IF(E53="","",ROUND(E53*Réglages!$B$3,2))</f>
        <v/>
      </c>
      <c r="I53" s="5" t="str">
        <f aca="false">IF(E53="","",ROUND(E53*Réglages!$B$4,2))</f>
        <v/>
      </c>
      <c r="J53" s="5" t="str">
        <f aca="false">IF(E53="","",F53+G53+H53+I53)</f>
        <v/>
      </c>
      <c r="K53" s="5" t="str">
        <f aca="false">IF(E53="","",E53-J53)</f>
        <v/>
      </c>
      <c r="L53" s="6" t="str">
        <f aca="false">IF(A53="","",DATE(YEAR(A53),MONTH(A53),1))</f>
        <v/>
      </c>
      <c r="M53" s="3"/>
    </row>
    <row r="54" customFormat="false" ht="15" hidden="false" customHeight="false" outlineLevel="0" collapsed="false">
      <c r="A54" s="2"/>
      <c r="B54" s="3"/>
      <c r="C54" s="3"/>
      <c r="D54" s="3"/>
      <c r="E54" s="4"/>
      <c r="F54" s="4"/>
      <c r="G54" s="4"/>
      <c r="H54" s="5" t="str">
        <f aca="false">IF(E54="","",ROUND(E54*Réglages!$B$3,2))</f>
        <v/>
      </c>
      <c r="I54" s="5" t="str">
        <f aca="false">IF(E54="","",ROUND(E54*Réglages!$B$4,2))</f>
        <v/>
      </c>
      <c r="J54" s="5" t="str">
        <f aca="false">IF(E54="","",F54+G54+H54+I54)</f>
        <v/>
      </c>
      <c r="K54" s="5" t="str">
        <f aca="false">IF(E54="","",E54-J54)</f>
        <v/>
      </c>
      <c r="L54" s="6" t="str">
        <f aca="false">IF(A54="","",DATE(YEAR(A54),MONTH(A54),1))</f>
        <v/>
      </c>
      <c r="M54" s="3"/>
    </row>
    <row r="55" customFormat="false" ht="15" hidden="false" customHeight="false" outlineLevel="0" collapsed="false">
      <c r="A55" s="2"/>
      <c r="B55" s="3"/>
      <c r="C55" s="3"/>
      <c r="D55" s="3"/>
      <c r="E55" s="4"/>
      <c r="F55" s="4"/>
      <c r="G55" s="4"/>
      <c r="H55" s="5" t="str">
        <f aca="false">IF(E55="","",ROUND(E55*Réglages!$B$3,2))</f>
        <v/>
      </c>
      <c r="I55" s="5" t="str">
        <f aca="false">IF(E55="","",ROUND(E55*Réglages!$B$4,2))</f>
        <v/>
      </c>
      <c r="J55" s="5" t="str">
        <f aca="false">IF(E55="","",F55+G55+H55+I55)</f>
        <v/>
      </c>
      <c r="K55" s="5" t="str">
        <f aca="false">IF(E55="","",E55-J55)</f>
        <v/>
      </c>
      <c r="L55" s="6" t="str">
        <f aca="false">IF(A55="","",DATE(YEAR(A55),MONTH(A55),1))</f>
        <v/>
      </c>
      <c r="M55" s="3"/>
    </row>
    <row r="56" customFormat="false" ht="15" hidden="false" customHeight="false" outlineLevel="0" collapsed="false">
      <c r="A56" s="2"/>
      <c r="B56" s="3"/>
      <c r="C56" s="3"/>
      <c r="D56" s="3"/>
      <c r="E56" s="4"/>
      <c r="F56" s="4"/>
      <c r="G56" s="4"/>
      <c r="H56" s="5" t="str">
        <f aca="false">IF(E56="","",ROUND(E56*Réglages!$B$3,2))</f>
        <v/>
      </c>
      <c r="I56" s="5" t="str">
        <f aca="false">IF(E56="","",ROUND(E56*Réglages!$B$4,2))</f>
        <v/>
      </c>
      <c r="J56" s="5" t="str">
        <f aca="false">IF(E56="","",F56+G56+H56+I56)</f>
        <v/>
      </c>
      <c r="K56" s="5" t="str">
        <f aca="false">IF(E56="","",E56-J56)</f>
        <v/>
      </c>
      <c r="L56" s="6" t="str">
        <f aca="false">IF(A56="","",DATE(YEAR(A56),MONTH(A56),1))</f>
        <v/>
      </c>
      <c r="M56" s="3"/>
    </row>
    <row r="57" customFormat="false" ht="15" hidden="false" customHeight="false" outlineLevel="0" collapsed="false">
      <c r="A57" s="2"/>
      <c r="B57" s="3"/>
      <c r="C57" s="3"/>
      <c r="D57" s="3"/>
      <c r="E57" s="4"/>
      <c r="F57" s="4"/>
      <c r="G57" s="4"/>
      <c r="H57" s="5" t="str">
        <f aca="false">IF(E57="","",ROUND(E57*Réglages!$B$3,2))</f>
        <v/>
      </c>
      <c r="I57" s="5" t="str">
        <f aca="false">IF(E57="","",ROUND(E57*Réglages!$B$4,2))</f>
        <v/>
      </c>
      <c r="J57" s="5" t="str">
        <f aca="false">IF(E57="","",F57+G57+H57+I57)</f>
        <v/>
      </c>
      <c r="K57" s="5" t="str">
        <f aca="false">IF(E57="","",E57-J57)</f>
        <v/>
      </c>
      <c r="L57" s="6" t="str">
        <f aca="false">IF(A57="","",DATE(YEAR(A57),MONTH(A57),1))</f>
        <v/>
      </c>
      <c r="M57" s="3"/>
    </row>
    <row r="58" customFormat="false" ht="15" hidden="false" customHeight="false" outlineLevel="0" collapsed="false">
      <c r="A58" s="2"/>
      <c r="B58" s="3"/>
      <c r="C58" s="3"/>
      <c r="D58" s="3"/>
      <c r="E58" s="4"/>
      <c r="F58" s="4"/>
      <c r="G58" s="4"/>
      <c r="H58" s="5" t="str">
        <f aca="false">IF(E58="","",ROUND(E58*Réglages!$B$3,2))</f>
        <v/>
      </c>
      <c r="I58" s="5" t="str">
        <f aca="false">IF(E58="","",ROUND(E58*Réglages!$B$4,2))</f>
        <v/>
      </c>
      <c r="J58" s="5" t="str">
        <f aca="false">IF(E58="","",F58+G58+H58+I58)</f>
        <v/>
      </c>
      <c r="K58" s="5" t="str">
        <f aca="false">IF(E58="","",E58-J58)</f>
        <v/>
      </c>
      <c r="L58" s="6" t="str">
        <f aca="false">IF(A58="","",DATE(YEAR(A58),MONTH(A58),1))</f>
        <v/>
      </c>
      <c r="M58" s="3"/>
    </row>
    <row r="59" customFormat="false" ht="15" hidden="false" customHeight="false" outlineLevel="0" collapsed="false">
      <c r="A59" s="2"/>
      <c r="B59" s="3"/>
      <c r="C59" s="3"/>
      <c r="D59" s="3"/>
      <c r="E59" s="4"/>
      <c r="F59" s="4"/>
      <c r="G59" s="4"/>
      <c r="H59" s="5" t="str">
        <f aca="false">IF(E59="","",ROUND(E59*Réglages!$B$3,2))</f>
        <v/>
      </c>
      <c r="I59" s="5" t="str">
        <f aca="false">IF(E59="","",ROUND(E59*Réglages!$B$4,2))</f>
        <v/>
      </c>
      <c r="J59" s="5" t="str">
        <f aca="false">IF(E59="","",F59+G59+H59+I59)</f>
        <v/>
      </c>
      <c r="K59" s="5" t="str">
        <f aca="false">IF(E59="","",E59-J59)</f>
        <v/>
      </c>
      <c r="L59" s="6" t="str">
        <f aca="false">IF(A59="","",DATE(YEAR(A59),MONTH(A59),1))</f>
        <v/>
      </c>
      <c r="M59" s="3"/>
    </row>
    <row r="60" customFormat="false" ht="15" hidden="false" customHeight="false" outlineLevel="0" collapsed="false">
      <c r="A60" s="2"/>
      <c r="B60" s="3"/>
      <c r="C60" s="3"/>
      <c r="D60" s="3"/>
      <c r="E60" s="4"/>
      <c r="F60" s="4"/>
      <c r="G60" s="4"/>
      <c r="H60" s="5" t="str">
        <f aca="false">IF(E60="","",ROUND(E60*Réglages!$B$3,2))</f>
        <v/>
      </c>
      <c r="I60" s="5" t="str">
        <f aca="false">IF(E60="","",ROUND(E60*Réglages!$B$4,2))</f>
        <v/>
      </c>
      <c r="J60" s="5" t="str">
        <f aca="false">IF(E60="","",F60+G60+H60+I60)</f>
        <v/>
      </c>
      <c r="K60" s="5" t="str">
        <f aca="false">IF(E60="","",E60-J60)</f>
        <v/>
      </c>
      <c r="L60" s="6" t="str">
        <f aca="false">IF(A60="","",DATE(YEAR(A60),MONTH(A60),1))</f>
        <v/>
      </c>
      <c r="M60" s="3"/>
    </row>
    <row r="61" customFormat="false" ht="15" hidden="false" customHeight="false" outlineLevel="0" collapsed="false">
      <c r="A61" s="2"/>
      <c r="B61" s="3"/>
      <c r="C61" s="3"/>
      <c r="D61" s="3"/>
      <c r="E61" s="4"/>
      <c r="F61" s="4"/>
      <c r="G61" s="4"/>
      <c r="H61" s="5" t="str">
        <f aca="false">IF(E61="","",ROUND(E61*Réglages!$B$3,2))</f>
        <v/>
      </c>
      <c r="I61" s="5" t="str">
        <f aca="false">IF(E61="","",ROUND(E61*Réglages!$B$4,2))</f>
        <v/>
      </c>
      <c r="J61" s="5" t="str">
        <f aca="false">IF(E61="","",F61+G61+H61+I61)</f>
        <v/>
      </c>
      <c r="K61" s="5" t="str">
        <f aca="false">IF(E61="","",E61-J61)</f>
        <v/>
      </c>
      <c r="L61" s="6" t="str">
        <f aca="false">IF(A61="","",DATE(YEAR(A61),MONTH(A61),1))</f>
        <v/>
      </c>
      <c r="M61" s="3"/>
    </row>
    <row r="62" customFormat="false" ht="15" hidden="false" customHeight="false" outlineLevel="0" collapsed="false">
      <c r="A62" s="2"/>
      <c r="B62" s="3"/>
      <c r="C62" s="3"/>
      <c r="D62" s="3"/>
      <c r="E62" s="4"/>
      <c r="F62" s="4"/>
      <c r="G62" s="4"/>
      <c r="H62" s="5" t="str">
        <f aca="false">IF(E62="","",ROUND(E62*Réglages!$B$3,2))</f>
        <v/>
      </c>
      <c r="I62" s="5" t="str">
        <f aca="false">IF(E62="","",ROUND(E62*Réglages!$B$4,2))</f>
        <v/>
      </c>
      <c r="J62" s="5" t="str">
        <f aca="false">IF(E62="","",F62+G62+H62+I62)</f>
        <v/>
      </c>
      <c r="K62" s="5" t="str">
        <f aca="false">IF(E62="","",E62-J62)</f>
        <v/>
      </c>
      <c r="L62" s="6" t="str">
        <f aca="false">IF(A62="","",DATE(YEAR(A62),MONTH(A62),1))</f>
        <v/>
      </c>
      <c r="M62" s="3"/>
    </row>
    <row r="63" customFormat="false" ht="15" hidden="false" customHeight="false" outlineLevel="0" collapsed="false">
      <c r="A63" s="2"/>
      <c r="B63" s="3"/>
      <c r="C63" s="3"/>
      <c r="D63" s="3"/>
      <c r="E63" s="4"/>
      <c r="F63" s="4"/>
      <c r="G63" s="4"/>
      <c r="H63" s="5" t="str">
        <f aca="false">IF(E63="","",ROUND(E63*Réglages!$B$3,2))</f>
        <v/>
      </c>
      <c r="I63" s="5" t="str">
        <f aca="false">IF(E63="","",ROUND(E63*Réglages!$B$4,2))</f>
        <v/>
      </c>
      <c r="J63" s="5" t="str">
        <f aca="false">IF(E63="","",F63+G63+H63+I63)</f>
        <v/>
      </c>
      <c r="K63" s="5" t="str">
        <f aca="false">IF(E63="","",E63-J63)</f>
        <v/>
      </c>
      <c r="L63" s="6" t="str">
        <f aca="false">IF(A63="","",DATE(YEAR(A63),MONTH(A63),1))</f>
        <v/>
      </c>
      <c r="M63" s="3"/>
    </row>
    <row r="64" customFormat="false" ht="15" hidden="false" customHeight="false" outlineLevel="0" collapsed="false">
      <c r="A64" s="2"/>
      <c r="B64" s="3"/>
      <c r="C64" s="3"/>
      <c r="D64" s="3"/>
      <c r="E64" s="4"/>
      <c r="F64" s="4"/>
      <c r="G64" s="4"/>
      <c r="H64" s="5" t="str">
        <f aca="false">IF(E64="","",ROUND(E64*Réglages!$B$3,2))</f>
        <v/>
      </c>
      <c r="I64" s="5" t="str">
        <f aca="false">IF(E64="","",ROUND(E64*Réglages!$B$4,2))</f>
        <v/>
      </c>
      <c r="J64" s="5" t="str">
        <f aca="false">IF(E64="","",F64+G64+H64+I64)</f>
        <v/>
      </c>
      <c r="K64" s="5" t="str">
        <f aca="false">IF(E64="","",E64-J64)</f>
        <v/>
      </c>
      <c r="L64" s="6" t="str">
        <f aca="false">IF(A64="","",DATE(YEAR(A64),MONTH(A64),1))</f>
        <v/>
      </c>
      <c r="M64" s="3"/>
    </row>
    <row r="65" customFormat="false" ht="15" hidden="false" customHeight="false" outlineLevel="0" collapsed="false">
      <c r="A65" s="2"/>
      <c r="B65" s="3"/>
      <c r="C65" s="3"/>
      <c r="D65" s="3"/>
      <c r="E65" s="4"/>
      <c r="F65" s="4"/>
      <c r="G65" s="4"/>
      <c r="H65" s="5" t="str">
        <f aca="false">IF(E65="","",ROUND(E65*Réglages!$B$3,2))</f>
        <v/>
      </c>
      <c r="I65" s="5" t="str">
        <f aca="false">IF(E65="","",ROUND(E65*Réglages!$B$4,2))</f>
        <v/>
      </c>
      <c r="J65" s="5" t="str">
        <f aca="false">IF(E65="","",F65+G65+H65+I65)</f>
        <v/>
      </c>
      <c r="K65" s="5" t="str">
        <f aca="false">IF(E65="","",E65-J65)</f>
        <v/>
      </c>
      <c r="L65" s="6" t="str">
        <f aca="false">IF(A65="","",DATE(YEAR(A65),MONTH(A65),1))</f>
        <v/>
      </c>
      <c r="M65" s="3"/>
    </row>
    <row r="66" customFormat="false" ht="15" hidden="false" customHeight="false" outlineLevel="0" collapsed="false">
      <c r="A66" s="2"/>
      <c r="B66" s="3"/>
      <c r="C66" s="3"/>
      <c r="D66" s="3"/>
      <c r="E66" s="4"/>
      <c r="F66" s="4"/>
      <c r="G66" s="4"/>
      <c r="H66" s="5" t="str">
        <f aca="false">IF(E66="","",ROUND(E66*Réglages!$B$3,2))</f>
        <v/>
      </c>
      <c r="I66" s="5" t="str">
        <f aca="false">IF(E66="","",ROUND(E66*Réglages!$B$4,2))</f>
        <v/>
      </c>
      <c r="J66" s="5" t="str">
        <f aca="false">IF(E66="","",F66+G66+H66+I66)</f>
        <v/>
      </c>
      <c r="K66" s="5" t="str">
        <f aca="false">IF(E66="","",E66-J66)</f>
        <v/>
      </c>
      <c r="L66" s="6" t="str">
        <f aca="false">IF(A66="","",DATE(YEAR(A66),MONTH(A66),1))</f>
        <v/>
      </c>
      <c r="M66" s="3"/>
    </row>
    <row r="67" customFormat="false" ht="15" hidden="false" customHeight="false" outlineLevel="0" collapsed="false">
      <c r="A67" s="2"/>
      <c r="B67" s="3"/>
      <c r="C67" s="3"/>
      <c r="D67" s="3"/>
      <c r="E67" s="4"/>
      <c r="F67" s="4"/>
      <c r="G67" s="4"/>
      <c r="H67" s="5" t="str">
        <f aca="false">IF(E67="","",ROUND(E67*Réglages!$B$3,2))</f>
        <v/>
      </c>
      <c r="I67" s="5" t="str">
        <f aca="false">IF(E67="","",ROUND(E67*Réglages!$B$4,2))</f>
        <v/>
      </c>
      <c r="J67" s="5" t="str">
        <f aca="false">IF(E67="","",F67+G67+H67+I67)</f>
        <v/>
      </c>
      <c r="K67" s="5" t="str">
        <f aca="false">IF(E67="","",E67-J67)</f>
        <v/>
      </c>
      <c r="L67" s="6" t="str">
        <f aca="false">IF(A67="","",DATE(YEAR(A67),MONTH(A67),1))</f>
        <v/>
      </c>
      <c r="M67" s="3"/>
    </row>
    <row r="68" customFormat="false" ht="15" hidden="false" customHeight="false" outlineLevel="0" collapsed="false">
      <c r="A68" s="2"/>
      <c r="B68" s="3"/>
      <c r="C68" s="3"/>
      <c r="D68" s="3"/>
      <c r="E68" s="4"/>
      <c r="F68" s="4"/>
      <c r="G68" s="4"/>
      <c r="H68" s="5" t="str">
        <f aca="false">IF(E68="","",ROUND(E68*Réglages!$B$3,2))</f>
        <v/>
      </c>
      <c r="I68" s="5" t="str">
        <f aca="false">IF(E68="","",ROUND(E68*Réglages!$B$4,2))</f>
        <v/>
      </c>
      <c r="J68" s="5" t="str">
        <f aca="false">IF(E68="","",F68+G68+H68+I68)</f>
        <v/>
      </c>
      <c r="K68" s="5" t="str">
        <f aca="false">IF(E68="","",E68-J68)</f>
        <v/>
      </c>
      <c r="L68" s="6" t="str">
        <f aca="false">IF(A68="","",DATE(YEAR(A68),MONTH(A68),1))</f>
        <v/>
      </c>
      <c r="M68" s="3"/>
    </row>
    <row r="69" customFormat="false" ht="15" hidden="false" customHeight="false" outlineLevel="0" collapsed="false">
      <c r="A69" s="2"/>
      <c r="B69" s="3"/>
      <c r="C69" s="3"/>
      <c r="D69" s="3"/>
      <c r="E69" s="4"/>
      <c r="F69" s="4"/>
      <c r="G69" s="4"/>
      <c r="H69" s="5" t="str">
        <f aca="false">IF(E69="","",ROUND(E69*Réglages!$B$3,2))</f>
        <v/>
      </c>
      <c r="I69" s="5" t="str">
        <f aca="false">IF(E69="","",ROUND(E69*Réglages!$B$4,2))</f>
        <v/>
      </c>
      <c r="J69" s="5" t="str">
        <f aca="false">IF(E69="","",F69+G69+H69+I69)</f>
        <v/>
      </c>
      <c r="K69" s="5" t="str">
        <f aca="false">IF(E69="","",E69-J69)</f>
        <v/>
      </c>
      <c r="L69" s="6" t="str">
        <f aca="false">IF(A69="","",DATE(YEAR(A69),MONTH(A69),1))</f>
        <v/>
      </c>
      <c r="M69" s="3"/>
    </row>
    <row r="70" customFormat="false" ht="15" hidden="false" customHeight="false" outlineLevel="0" collapsed="false">
      <c r="A70" s="2"/>
      <c r="B70" s="3"/>
      <c r="C70" s="3"/>
      <c r="D70" s="3"/>
      <c r="E70" s="4"/>
      <c r="F70" s="4"/>
      <c r="G70" s="4"/>
      <c r="H70" s="5" t="str">
        <f aca="false">IF(E70="","",ROUND(E70*Réglages!$B$3,2))</f>
        <v/>
      </c>
      <c r="I70" s="5" t="str">
        <f aca="false">IF(E70="","",ROUND(E70*Réglages!$B$4,2))</f>
        <v/>
      </c>
      <c r="J70" s="5" t="str">
        <f aca="false">IF(E70="","",F70+G70+H70+I70)</f>
        <v/>
      </c>
      <c r="K70" s="5" t="str">
        <f aca="false">IF(E70="","",E70-J70)</f>
        <v/>
      </c>
      <c r="L70" s="6" t="str">
        <f aca="false">IF(A70="","",DATE(YEAR(A70),MONTH(A70),1))</f>
        <v/>
      </c>
      <c r="M70" s="3"/>
    </row>
    <row r="71" customFormat="false" ht="15" hidden="false" customHeight="false" outlineLevel="0" collapsed="false">
      <c r="A71" s="2"/>
      <c r="B71" s="3"/>
      <c r="C71" s="3"/>
      <c r="D71" s="3"/>
      <c r="E71" s="4"/>
      <c r="F71" s="4"/>
      <c r="G71" s="4"/>
      <c r="H71" s="5" t="str">
        <f aca="false">IF(E71="","",ROUND(E71*Réglages!$B$3,2))</f>
        <v/>
      </c>
      <c r="I71" s="5" t="str">
        <f aca="false">IF(E71="","",ROUND(E71*Réglages!$B$4,2))</f>
        <v/>
      </c>
      <c r="J71" s="5" t="str">
        <f aca="false">IF(E71="","",F71+G71+H71+I71)</f>
        <v/>
      </c>
      <c r="K71" s="5" t="str">
        <f aca="false">IF(E71="","",E71-J71)</f>
        <v/>
      </c>
      <c r="L71" s="6" t="str">
        <f aca="false">IF(A71="","",DATE(YEAR(A71),MONTH(A71),1))</f>
        <v/>
      </c>
      <c r="M71" s="3"/>
    </row>
    <row r="72" customFormat="false" ht="15" hidden="false" customHeight="false" outlineLevel="0" collapsed="false">
      <c r="A72" s="2"/>
      <c r="B72" s="3"/>
      <c r="C72" s="3"/>
      <c r="D72" s="3"/>
      <c r="E72" s="4"/>
      <c r="F72" s="4"/>
      <c r="G72" s="4"/>
      <c r="H72" s="5" t="str">
        <f aca="false">IF(E72="","",ROUND(E72*Réglages!$B$3,2))</f>
        <v/>
      </c>
      <c r="I72" s="5" t="str">
        <f aca="false">IF(E72="","",ROUND(E72*Réglages!$B$4,2))</f>
        <v/>
      </c>
      <c r="J72" s="5" t="str">
        <f aca="false">IF(E72="","",F72+G72+H72+I72)</f>
        <v/>
      </c>
      <c r="K72" s="5" t="str">
        <f aca="false">IF(E72="","",E72-J72)</f>
        <v/>
      </c>
      <c r="L72" s="6" t="str">
        <f aca="false">IF(A72="","",DATE(YEAR(A72),MONTH(A72),1))</f>
        <v/>
      </c>
      <c r="M72" s="3"/>
    </row>
    <row r="73" customFormat="false" ht="15" hidden="false" customHeight="false" outlineLevel="0" collapsed="false">
      <c r="A73" s="2"/>
      <c r="B73" s="3"/>
      <c r="C73" s="3"/>
      <c r="D73" s="3"/>
      <c r="E73" s="4"/>
      <c r="F73" s="4"/>
      <c r="G73" s="4"/>
      <c r="H73" s="5" t="str">
        <f aca="false">IF(E73="","",ROUND(E73*Réglages!$B$3,2))</f>
        <v/>
      </c>
      <c r="I73" s="5" t="str">
        <f aca="false">IF(E73="","",ROUND(E73*Réglages!$B$4,2))</f>
        <v/>
      </c>
      <c r="J73" s="5" t="str">
        <f aca="false">IF(E73="","",F73+G73+H73+I73)</f>
        <v/>
      </c>
      <c r="K73" s="5" t="str">
        <f aca="false">IF(E73="","",E73-J73)</f>
        <v/>
      </c>
      <c r="L73" s="6" t="str">
        <f aca="false">IF(A73="","",DATE(YEAR(A73),MONTH(A73),1))</f>
        <v/>
      </c>
      <c r="M73" s="3"/>
    </row>
    <row r="74" customFormat="false" ht="15" hidden="false" customHeight="false" outlineLevel="0" collapsed="false">
      <c r="A74" s="2"/>
      <c r="B74" s="3"/>
      <c r="C74" s="3"/>
      <c r="D74" s="3"/>
      <c r="E74" s="4"/>
      <c r="F74" s="4"/>
      <c r="G74" s="4"/>
      <c r="H74" s="5" t="str">
        <f aca="false">IF(E74="","",ROUND(E74*Réglages!$B$3,2))</f>
        <v/>
      </c>
      <c r="I74" s="5" t="str">
        <f aca="false">IF(E74="","",ROUND(E74*Réglages!$B$4,2))</f>
        <v/>
      </c>
      <c r="J74" s="5" t="str">
        <f aca="false">IF(E74="","",F74+G74+H74+I74)</f>
        <v/>
      </c>
      <c r="K74" s="5" t="str">
        <f aca="false">IF(E74="","",E74-J74)</f>
        <v/>
      </c>
      <c r="L74" s="6" t="str">
        <f aca="false">IF(A74="","",DATE(YEAR(A74),MONTH(A74),1))</f>
        <v/>
      </c>
      <c r="M74" s="3"/>
    </row>
    <row r="75" customFormat="false" ht="15" hidden="false" customHeight="false" outlineLevel="0" collapsed="false">
      <c r="A75" s="2"/>
      <c r="B75" s="3"/>
      <c r="C75" s="3"/>
      <c r="D75" s="3"/>
      <c r="E75" s="4"/>
      <c r="F75" s="4"/>
      <c r="G75" s="4"/>
      <c r="H75" s="5" t="str">
        <f aca="false">IF(E75="","",ROUND(E75*Réglages!$B$3,2))</f>
        <v/>
      </c>
      <c r="I75" s="5" t="str">
        <f aca="false">IF(E75="","",ROUND(E75*Réglages!$B$4,2))</f>
        <v/>
      </c>
      <c r="J75" s="5" t="str">
        <f aca="false">IF(E75="","",F75+G75+H75+I75)</f>
        <v/>
      </c>
      <c r="K75" s="5" t="str">
        <f aca="false">IF(E75="","",E75-J75)</f>
        <v/>
      </c>
      <c r="L75" s="6" t="str">
        <f aca="false">IF(A75="","",DATE(YEAR(A75),MONTH(A75),1))</f>
        <v/>
      </c>
      <c r="M75" s="3"/>
    </row>
    <row r="76" customFormat="false" ht="15" hidden="false" customHeight="false" outlineLevel="0" collapsed="false">
      <c r="A76" s="2"/>
      <c r="B76" s="3"/>
      <c r="C76" s="3"/>
      <c r="D76" s="3"/>
      <c r="E76" s="4"/>
      <c r="F76" s="4"/>
      <c r="G76" s="4"/>
      <c r="H76" s="5" t="str">
        <f aca="false">IF(E76="","",ROUND(E76*Réglages!$B$3,2))</f>
        <v/>
      </c>
      <c r="I76" s="5" t="str">
        <f aca="false">IF(E76="","",ROUND(E76*Réglages!$B$4,2))</f>
        <v/>
      </c>
      <c r="J76" s="5" t="str">
        <f aca="false">IF(E76="","",F76+G76+H76+I76)</f>
        <v/>
      </c>
      <c r="K76" s="5" t="str">
        <f aca="false">IF(E76="","",E76-J76)</f>
        <v/>
      </c>
      <c r="L76" s="6" t="str">
        <f aca="false">IF(A76="","",DATE(YEAR(A76),MONTH(A76),1))</f>
        <v/>
      </c>
      <c r="M76" s="3"/>
    </row>
    <row r="77" customFormat="false" ht="15" hidden="false" customHeight="false" outlineLevel="0" collapsed="false">
      <c r="A77" s="2"/>
      <c r="B77" s="3"/>
      <c r="C77" s="3"/>
      <c r="D77" s="3"/>
      <c r="E77" s="4"/>
      <c r="F77" s="4"/>
      <c r="G77" s="4"/>
      <c r="H77" s="5" t="str">
        <f aca="false">IF(E77="","",ROUND(E77*Réglages!$B$3,2))</f>
        <v/>
      </c>
      <c r="I77" s="5" t="str">
        <f aca="false">IF(E77="","",ROUND(E77*Réglages!$B$4,2))</f>
        <v/>
      </c>
      <c r="J77" s="5" t="str">
        <f aca="false">IF(E77="","",F77+G77+H77+I77)</f>
        <v/>
      </c>
      <c r="K77" s="5" t="str">
        <f aca="false">IF(E77="","",E77-J77)</f>
        <v/>
      </c>
      <c r="L77" s="6" t="str">
        <f aca="false">IF(A77="","",DATE(YEAR(A77),MONTH(A77),1))</f>
        <v/>
      </c>
      <c r="M77" s="3"/>
    </row>
    <row r="78" customFormat="false" ht="15" hidden="false" customHeight="false" outlineLevel="0" collapsed="false">
      <c r="A78" s="2"/>
      <c r="B78" s="3"/>
      <c r="C78" s="3"/>
      <c r="D78" s="3"/>
      <c r="E78" s="4"/>
      <c r="F78" s="4"/>
      <c r="G78" s="4"/>
      <c r="H78" s="5" t="str">
        <f aca="false">IF(E78="","",ROUND(E78*Réglages!$B$3,2))</f>
        <v/>
      </c>
      <c r="I78" s="5" t="str">
        <f aca="false">IF(E78="","",ROUND(E78*Réglages!$B$4,2))</f>
        <v/>
      </c>
      <c r="J78" s="5" t="str">
        <f aca="false">IF(E78="","",F78+G78+H78+I78)</f>
        <v/>
      </c>
      <c r="K78" s="5" t="str">
        <f aca="false">IF(E78="","",E78-J78)</f>
        <v/>
      </c>
      <c r="L78" s="6" t="str">
        <f aca="false">IF(A78="","",DATE(YEAR(A78),MONTH(A78),1))</f>
        <v/>
      </c>
      <c r="M78" s="3"/>
    </row>
    <row r="79" customFormat="false" ht="15" hidden="false" customHeight="false" outlineLevel="0" collapsed="false">
      <c r="A79" s="2"/>
      <c r="B79" s="3"/>
      <c r="C79" s="3"/>
      <c r="D79" s="3"/>
      <c r="E79" s="4"/>
      <c r="F79" s="4"/>
      <c r="G79" s="4"/>
      <c r="H79" s="5" t="str">
        <f aca="false">IF(E79="","",ROUND(E79*Réglages!$B$3,2))</f>
        <v/>
      </c>
      <c r="I79" s="5" t="str">
        <f aca="false">IF(E79="","",ROUND(E79*Réglages!$B$4,2))</f>
        <v/>
      </c>
      <c r="J79" s="5" t="str">
        <f aca="false">IF(E79="","",F79+G79+H79+I79)</f>
        <v/>
      </c>
      <c r="K79" s="5" t="str">
        <f aca="false">IF(E79="","",E79-J79)</f>
        <v/>
      </c>
      <c r="L79" s="6" t="str">
        <f aca="false">IF(A79="","",DATE(YEAR(A79),MONTH(A79),1))</f>
        <v/>
      </c>
      <c r="M79" s="3"/>
    </row>
    <row r="80" customFormat="false" ht="15" hidden="false" customHeight="false" outlineLevel="0" collapsed="false">
      <c r="A80" s="2"/>
      <c r="B80" s="3"/>
      <c r="C80" s="3"/>
      <c r="D80" s="3"/>
      <c r="E80" s="4"/>
      <c r="F80" s="4"/>
      <c r="G80" s="4"/>
      <c r="H80" s="5" t="str">
        <f aca="false">IF(E80="","",ROUND(E80*Réglages!$B$3,2))</f>
        <v/>
      </c>
      <c r="I80" s="5" t="str">
        <f aca="false">IF(E80="","",ROUND(E80*Réglages!$B$4,2))</f>
        <v/>
      </c>
      <c r="J80" s="5" t="str">
        <f aca="false">IF(E80="","",F80+G80+H80+I80)</f>
        <v/>
      </c>
      <c r="K80" s="5" t="str">
        <f aca="false">IF(E80="","",E80-J80)</f>
        <v/>
      </c>
      <c r="L80" s="6" t="str">
        <f aca="false">IF(A80="","",DATE(YEAR(A80),MONTH(A80),1))</f>
        <v/>
      </c>
      <c r="M80" s="3"/>
    </row>
    <row r="81" customFormat="false" ht="15" hidden="false" customHeight="false" outlineLevel="0" collapsed="false">
      <c r="A81" s="2"/>
      <c r="B81" s="3"/>
      <c r="C81" s="3"/>
      <c r="D81" s="3"/>
      <c r="E81" s="4"/>
      <c r="F81" s="4"/>
      <c r="G81" s="4"/>
      <c r="H81" s="5" t="str">
        <f aca="false">IF(E81="","",ROUND(E81*Réglages!$B$3,2))</f>
        <v/>
      </c>
      <c r="I81" s="5" t="str">
        <f aca="false">IF(E81="","",ROUND(E81*Réglages!$B$4,2))</f>
        <v/>
      </c>
      <c r="J81" s="5" t="str">
        <f aca="false">IF(E81="","",F81+G81+H81+I81)</f>
        <v/>
      </c>
      <c r="K81" s="5" t="str">
        <f aca="false">IF(E81="","",E81-J81)</f>
        <v/>
      </c>
      <c r="L81" s="6" t="str">
        <f aca="false">IF(A81="","",DATE(YEAR(A81),MONTH(A81),1))</f>
        <v/>
      </c>
      <c r="M81" s="3"/>
    </row>
    <row r="82" customFormat="false" ht="15" hidden="false" customHeight="false" outlineLevel="0" collapsed="false">
      <c r="A82" s="2"/>
      <c r="B82" s="3"/>
      <c r="C82" s="3"/>
      <c r="D82" s="3"/>
      <c r="E82" s="4"/>
      <c r="F82" s="4"/>
      <c r="G82" s="4"/>
      <c r="H82" s="5" t="str">
        <f aca="false">IF(E82="","",ROUND(E82*Réglages!$B$3,2))</f>
        <v/>
      </c>
      <c r="I82" s="5" t="str">
        <f aca="false">IF(E82="","",ROUND(E82*Réglages!$B$4,2))</f>
        <v/>
      </c>
      <c r="J82" s="5" t="str">
        <f aca="false">IF(E82="","",F82+G82+H82+I82)</f>
        <v/>
      </c>
      <c r="K82" s="5" t="str">
        <f aca="false">IF(E82="","",E82-J82)</f>
        <v/>
      </c>
      <c r="L82" s="6" t="str">
        <f aca="false">IF(A82="","",DATE(YEAR(A82),MONTH(A82),1))</f>
        <v/>
      </c>
      <c r="M82" s="3"/>
    </row>
    <row r="83" customFormat="false" ht="15" hidden="false" customHeight="false" outlineLevel="0" collapsed="false">
      <c r="A83" s="2"/>
      <c r="B83" s="3"/>
      <c r="C83" s="3"/>
      <c r="D83" s="3"/>
      <c r="E83" s="4"/>
      <c r="F83" s="4"/>
      <c r="G83" s="4"/>
      <c r="H83" s="5" t="str">
        <f aca="false">IF(E83="","",ROUND(E83*Réglages!$B$3,2))</f>
        <v/>
      </c>
      <c r="I83" s="5" t="str">
        <f aca="false">IF(E83="","",ROUND(E83*Réglages!$B$4,2))</f>
        <v/>
      </c>
      <c r="J83" s="5" t="str">
        <f aca="false">IF(E83="","",F83+G83+H83+I83)</f>
        <v/>
      </c>
      <c r="K83" s="5" t="str">
        <f aca="false">IF(E83="","",E83-J83)</f>
        <v/>
      </c>
      <c r="L83" s="6" t="str">
        <f aca="false">IF(A83="","",DATE(YEAR(A83),MONTH(A83),1))</f>
        <v/>
      </c>
      <c r="M83" s="3"/>
    </row>
    <row r="84" customFormat="false" ht="15" hidden="false" customHeight="false" outlineLevel="0" collapsed="false">
      <c r="A84" s="2"/>
      <c r="B84" s="3"/>
      <c r="C84" s="3"/>
      <c r="D84" s="3"/>
      <c r="E84" s="4"/>
      <c r="F84" s="4"/>
      <c r="G84" s="4"/>
      <c r="H84" s="5" t="str">
        <f aca="false">IF(E84="","",ROUND(E84*Réglages!$B$3,2))</f>
        <v/>
      </c>
      <c r="I84" s="5" t="str">
        <f aca="false">IF(E84="","",ROUND(E84*Réglages!$B$4,2))</f>
        <v/>
      </c>
      <c r="J84" s="5" t="str">
        <f aca="false">IF(E84="","",F84+G84+H84+I84)</f>
        <v/>
      </c>
      <c r="K84" s="5" t="str">
        <f aca="false">IF(E84="","",E84-J84)</f>
        <v/>
      </c>
      <c r="L84" s="6" t="str">
        <f aca="false">IF(A84="","",DATE(YEAR(A84),MONTH(A84),1))</f>
        <v/>
      </c>
      <c r="M84" s="3"/>
    </row>
    <row r="85" customFormat="false" ht="15" hidden="false" customHeight="false" outlineLevel="0" collapsed="false">
      <c r="A85" s="2"/>
      <c r="B85" s="3"/>
      <c r="C85" s="3"/>
      <c r="D85" s="3"/>
      <c r="E85" s="4"/>
      <c r="F85" s="4"/>
      <c r="G85" s="4"/>
      <c r="H85" s="5" t="str">
        <f aca="false">IF(E85="","",ROUND(E85*Réglages!$B$3,2))</f>
        <v/>
      </c>
      <c r="I85" s="5" t="str">
        <f aca="false">IF(E85="","",ROUND(E85*Réglages!$B$4,2))</f>
        <v/>
      </c>
      <c r="J85" s="5" t="str">
        <f aca="false">IF(E85="","",F85+G85+H85+I85)</f>
        <v/>
      </c>
      <c r="K85" s="5" t="str">
        <f aca="false">IF(E85="","",E85-J85)</f>
        <v/>
      </c>
      <c r="L85" s="6" t="str">
        <f aca="false">IF(A85="","",DATE(YEAR(A85),MONTH(A85),1))</f>
        <v/>
      </c>
      <c r="M85" s="3"/>
    </row>
    <row r="86" customFormat="false" ht="15" hidden="false" customHeight="false" outlineLevel="0" collapsed="false">
      <c r="A86" s="2"/>
      <c r="B86" s="3"/>
      <c r="C86" s="3"/>
      <c r="D86" s="3"/>
      <c r="E86" s="4"/>
      <c r="F86" s="4"/>
      <c r="G86" s="4"/>
      <c r="H86" s="5" t="str">
        <f aca="false">IF(E86="","",ROUND(E86*Réglages!$B$3,2))</f>
        <v/>
      </c>
      <c r="I86" s="5" t="str">
        <f aca="false">IF(E86="","",ROUND(E86*Réglages!$B$4,2))</f>
        <v/>
      </c>
      <c r="J86" s="5" t="str">
        <f aca="false">IF(E86="","",F86+G86+H86+I86)</f>
        <v/>
      </c>
      <c r="K86" s="5" t="str">
        <f aca="false">IF(E86="","",E86-J86)</f>
        <v/>
      </c>
      <c r="L86" s="6" t="str">
        <f aca="false">IF(A86="","",DATE(YEAR(A86),MONTH(A86),1))</f>
        <v/>
      </c>
      <c r="M86" s="3"/>
    </row>
    <row r="87" customFormat="false" ht="15" hidden="false" customHeight="false" outlineLevel="0" collapsed="false">
      <c r="A87" s="2"/>
      <c r="B87" s="3"/>
      <c r="C87" s="3"/>
      <c r="D87" s="3"/>
      <c r="E87" s="4"/>
      <c r="F87" s="4"/>
      <c r="G87" s="4"/>
      <c r="H87" s="5" t="str">
        <f aca="false">IF(E87="","",ROUND(E87*Réglages!$B$3,2))</f>
        <v/>
      </c>
      <c r="I87" s="5" t="str">
        <f aca="false">IF(E87="","",ROUND(E87*Réglages!$B$4,2))</f>
        <v/>
      </c>
      <c r="J87" s="5" t="str">
        <f aca="false">IF(E87="","",F87+G87+H87+I87)</f>
        <v/>
      </c>
      <c r="K87" s="5" t="str">
        <f aca="false">IF(E87="","",E87-J87)</f>
        <v/>
      </c>
      <c r="L87" s="6" t="str">
        <f aca="false">IF(A87="","",DATE(YEAR(A87),MONTH(A87),1))</f>
        <v/>
      </c>
      <c r="M87" s="3"/>
    </row>
    <row r="88" customFormat="false" ht="15" hidden="false" customHeight="false" outlineLevel="0" collapsed="false">
      <c r="A88" s="2"/>
      <c r="B88" s="3"/>
      <c r="C88" s="3"/>
      <c r="D88" s="3"/>
      <c r="E88" s="4"/>
      <c r="F88" s="4"/>
      <c r="G88" s="4"/>
      <c r="H88" s="5" t="str">
        <f aca="false">IF(E88="","",ROUND(E88*Réglages!$B$3,2))</f>
        <v/>
      </c>
      <c r="I88" s="5" t="str">
        <f aca="false">IF(E88="","",ROUND(E88*Réglages!$B$4,2))</f>
        <v/>
      </c>
      <c r="J88" s="5" t="str">
        <f aca="false">IF(E88="","",F88+G88+H88+I88)</f>
        <v/>
      </c>
      <c r="K88" s="5" t="str">
        <f aca="false">IF(E88="","",E88-J88)</f>
        <v/>
      </c>
      <c r="L88" s="6" t="str">
        <f aca="false">IF(A88="","",DATE(YEAR(A88),MONTH(A88),1))</f>
        <v/>
      </c>
      <c r="M88" s="3"/>
    </row>
    <row r="89" customFormat="false" ht="15" hidden="false" customHeight="false" outlineLevel="0" collapsed="false">
      <c r="A89" s="2"/>
      <c r="B89" s="3"/>
      <c r="C89" s="3"/>
      <c r="D89" s="3"/>
      <c r="E89" s="4"/>
      <c r="F89" s="4"/>
      <c r="G89" s="4"/>
      <c r="H89" s="5" t="str">
        <f aca="false">IF(E89="","",ROUND(E89*Réglages!$B$3,2))</f>
        <v/>
      </c>
      <c r="I89" s="5" t="str">
        <f aca="false">IF(E89="","",ROUND(E89*Réglages!$B$4,2))</f>
        <v/>
      </c>
      <c r="J89" s="5" t="str">
        <f aca="false">IF(E89="","",F89+G89+H89+I89)</f>
        <v/>
      </c>
      <c r="K89" s="5" t="str">
        <f aca="false">IF(E89="","",E89-J89)</f>
        <v/>
      </c>
      <c r="L89" s="6" t="str">
        <f aca="false">IF(A89="","",DATE(YEAR(A89),MONTH(A89),1))</f>
        <v/>
      </c>
      <c r="M89" s="3"/>
    </row>
    <row r="90" customFormat="false" ht="15" hidden="false" customHeight="false" outlineLevel="0" collapsed="false">
      <c r="A90" s="2"/>
      <c r="B90" s="3"/>
      <c r="C90" s="3"/>
      <c r="D90" s="3"/>
      <c r="E90" s="4"/>
      <c r="F90" s="4"/>
      <c r="G90" s="4"/>
      <c r="H90" s="5" t="str">
        <f aca="false">IF(E90="","",ROUND(E90*Réglages!$B$3,2))</f>
        <v/>
      </c>
      <c r="I90" s="5" t="str">
        <f aca="false">IF(E90="","",ROUND(E90*Réglages!$B$4,2))</f>
        <v/>
      </c>
      <c r="J90" s="5" t="str">
        <f aca="false">IF(E90="","",F90+G90+H90+I90)</f>
        <v/>
      </c>
      <c r="K90" s="5" t="str">
        <f aca="false">IF(E90="","",E90-J90)</f>
        <v/>
      </c>
      <c r="L90" s="6" t="str">
        <f aca="false">IF(A90="","",DATE(YEAR(A90),MONTH(A90),1))</f>
        <v/>
      </c>
      <c r="M90" s="3"/>
    </row>
    <row r="91" customFormat="false" ht="15" hidden="false" customHeight="false" outlineLevel="0" collapsed="false">
      <c r="A91" s="2"/>
      <c r="B91" s="3"/>
      <c r="C91" s="3"/>
      <c r="D91" s="3"/>
      <c r="E91" s="4"/>
      <c r="F91" s="4"/>
      <c r="G91" s="4"/>
      <c r="H91" s="5" t="str">
        <f aca="false">IF(E91="","",ROUND(E91*Réglages!$B$3,2))</f>
        <v/>
      </c>
      <c r="I91" s="5" t="str">
        <f aca="false">IF(E91="","",ROUND(E91*Réglages!$B$4,2))</f>
        <v/>
      </c>
      <c r="J91" s="5" t="str">
        <f aca="false">IF(E91="","",F91+G91+H91+I91)</f>
        <v/>
      </c>
      <c r="K91" s="5" t="str">
        <f aca="false">IF(E91="","",E91-J91)</f>
        <v/>
      </c>
      <c r="L91" s="6" t="str">
        <f aca="false">IF(A91="","",DATE(YEAR(A91),MONTH(A91),1))</f>
        <v/>
      </c>
      <c r="M91" s="3"/>
    </row>
    <row r="92" customFormat="false" ht="15" hidden="false" customHeight="false" outlineLevel="0" collapsed="false">
      <c r="A92" s="2"/>
      <c r="B92" s="3"/>
      <c r="C92" s="3"/>
      <c r="D92" s="3"/>
      <c r="E92" s="4"/>
      <c r="F92" s="4"/>
      <c r="G92" s="4"/>
      <c r="H92" s="5" t="str">
        <f aca="false">IF(E92="","",ROUND(E92*Réglages!$B$3,2))</f>
        <v/>
      </c>
      <c r="I92" s="5" t="str">
        <f aca="false">IF(E92="","",ROUND(E92*Réglages!$B$4,2))</f>
        <v/>
      </c>
      <c r="J92" s="5" t="str">
        <f aca="false">IF(E92="","",F92+G92+H92+I92)</f>
        <v/>
      </c>
      <c r="K92" s="5" t="str">
        <f aca="false">IF(E92="","",E92-J92)</f>
        <v/>
      </c>
      <c r="L92" s="6" t="str">
        <f aca="false">IF(A92="","",DATE(YEAR(A92),MONTH(A92),1))</f>
        <v/>
      </c>
      <c r="M92" s="3"/>
    </row>
    <row r="93" customFormat="false" ht="15" hidden="false" customHeight="false" outlineLevel="0" collapsed="false">
      <c r="A93" s="2"/>
      <c r="B93" s="3"/>
      <c r="C93" s="3"/>
      <c r="D93" s="3"/>
      <c r="E93" s="4"/>
      <c r="F93" s="4"/>
      <c r="G93" s="4"/>
      <c r="H93" s="5" t="str">
        <f aca="false">IF(E93="","",ROUND(E93*Réglages!$B$3,2))</f>
        <v/>
      </c>
      <c r="I93" s="5" t="str">
        <f aca="false">IF(E93="","",ROUND(E93*Réglages!$B$4,2))</f>
        <v/>
      </c>
      <c r="J93" s="5" t="str">
        <f aca="false">IF(E93="","",F93+G93+H93+I93)</f>
        <v/>
      </c>
      <c r="K93" s="5" t="str">
        <f aca="false">IF(E93="","",E93-J93)</f>
        <v/>
      </c>
      <c r="L93" s="6" t="str">
        <f aca="false">IF(A93="","",DATE(YEAR(A93),MONTH(A93),1))</f>
        <v/>
      </c>
      <c r="M93" s="3"/>
    </row>
    <row r="94" customFormat="false" ht="15" hidden="false" customHeight="false" outlineLevel="0" collapsed="false">
      <c r="A94" s="2"/>
      <c r="B94" s="3"/>
      <c r="C94" s="3"/>
      <c r="D94" s="3"/>
      <c r="E94" s="4"/>
      <c r="F94" s="4"/>
      <c r="G94" s="4"/>
      <c r="H94" s="5" t="str">
        <f aca="false">IF(E94="","",ROUND(E94*Réglages!$B$3,2))</f>
        <v/>
      </c>
      <c r="I94" s="5" t="str">
        <f aca="false">IF(E94="","",ROUND(E94*Réglages!$B$4,2))</f>
        <v/>
      </c>
      <c r="J94" s="5" t="str">
        <f aca="false">IF(E94="","",F94+G94+H94+I94)</f>
        <v/>
      </c>
      <c r="K94" s="5" t="str">
        <f aca="false">IF(E94="","",E94-J94)</f>
        <v/>
      </c>
      <c r="L94" s="6" t="str">
        <f aca="false">IF(A94="","",DATE(YEAR(A94),MONTH(A94),1))</f>
        <v/>
      </c>
      <c r="M94" s="3"/>
    </row>
    <row r="95" customFormat="false" ht="15" hidden="false" customHeight="false" outlineLevel="0" collapsed="false">
      <c r="A95" s="2"/>
      <c r="B95" s="3"/>
      <c r="C95" s="3"/>
      <c r="D95" s="3"/>
      <c r="E95" s="4"/>
      <c r="F95" s="4"/>
      <c r="G95" s="4"/>
      <c r="H95" s="5" t="str">
        <f aca="false">IF(E95="","",ROUND(E95*Réglages!$B$3,2))</f>
        <v/>
      </c>
      <c r="I95" s="5" t="str">
        <f aca="false">IF(E95="","",ROUND(E95*Réglages!$B$4,2))</f>
        <v/>
      </c>
      <c r="J95" s="5" t="str">
        <f aca="false">IF(E95="","",F95+G95+H95+I95)</f>
        <v/>
      </c>
      <c r="K95" s="5" t="str">
        <f aca="false">IF(E95="","",E95-J95)</f>
        <v/>
      </c>
      <c r="L95" s="6" t="str">
        <f aca="false">IF(A95="","",DATE(YEAR(A95),MONTH(A95),1))</f>
        <v/>
      </c>
      <c r="M95" s="3"/>
    </row>
    <row r="96" customFormat="false" ht="15" hidden="false" customHeight="false" outlineLevel="0" collapsed="false">
      <c r="A96" s="2"/>
      <c r="B96" s="3"/>
      <c r="C96" s="3"/>
      <c r="D96" s="3"/>
      <c r="E96" s="4"/>
      <c r="F96" s="4"/>
      <c r="G96" s="4"/>
      <c r="H96" s="5" t="str">
        <f aca="false">IF(E96="","",ROUND(E96*Réglages!$B$3,2))</f>
        <v/>
      </c>
      <c r="I96" s="5" t="str">
        <f aca="false">IF(E96="","",ROUND(E96*Réglages!$B$4,2))</f>
        <v/>
      </c>
      <c r="J96" s="5" t="str">
        <f aca="false">IF(E96="","",F96+G96+H96+I96)</f>
        <v/>
      </c>
      <c r="K96" s="5" t="str">
        <f aca="false">IF(E96="","",E96-J96)</f>
        <v/>
      </c>
      <c r="L96" s="6" t="str">
        <f aca="false">IF(A96="","",DATE(YEAR(A96),MONTH(A96),1))</f>
        <v/>
      </c>
      <c r="M96" s="3"/>
    </row>
    <row r="97" customFormat="false" ht="15" hidden="false" customHeight="false" outlineLevel="0" collapsed="false">
      <c r="A97" s="2"/>
      <c r="B97" s="3"/>
      <c r="C97" s="3"/>
      <c r="D97" s="3"/>
      <c r="E97" s="4"/>
      <c r="F97" s="4"/>
      <c r="G97" s="4"/>
      <c r="H97" s="5" t="str">
        <f aca="false">IF(E97="","",ROUND(E97*Réglages!$B$3,2))</f>
        <v/>
      </c>
      <c r="I97" s="5" t="str">
        <f aca="false">IF(E97="","",ROUND(E97*Réglages!$B$4,2))</f>
        <v/>
      </c>
      <c r="J97" s="5" t="str">
        <f aca="false">IF(E97="","",F97+G97+H97+I97)</f>
        <v/>
      </c>
      <c r="K97" s="5" t="str">
        <f aca="false">IF(E97="","",E97-J97)</f>
        <v/>
      </c>
      <c r="L97" s="6" t="str">
        <f aca="false">IF(A97="","",DATE(YEAR(A97),MONTH(A97),1))</f>
        <v/>
      </c>
      <c r="M97" s="3"/>
    </row>
    <row r="98" customFormat="false" ht="15" hidden="false" customHeight="false" outlineLevel="0" collapsed="false">
      <c r="A98" s="2"/>
      <c r="B98" s="3"/>
      <c r="C98" s="3"/>
      <c r="D98" s="3"/>
      <c r="E98" s="4"/>
      <c r="F98" s="4"/>
      <c r="G98" s="4"/>
      <c r="H98" s="5" t="str">
        <f aca="false">IF(E98="","",ROUND(E98*Réglages!$B$3,2))</f>
        <v/>
      </c>
      <c r="I98" s="5" t="str">
        <f aca="false">IF(E98="","",ROUND(E98*Réglages!$B$4,2))</f>
        <v/>
      </c>
      <c r="J98" s="5" t="str">
        <f aca="false">IF(E98="","",F98+G98+H98+I98)</f>
        <v/>
      </c>
      <c r="K98" s="5" t="str">
        <f aca="false">IF(E98="","",E98-J98)</f>
        <v/>
      </c>
      <c r="L98" s="6" t="str">
        <f aca="false">IF(A98="","",DATE(YEAR(A98),MONTH(A98),1))</f>
        <v/>
      </c>
      <c r="M98" s="3"/>
    </row>
    <row r="99" customFormat="false" ht="15" hidden="false" customHeight="false" outlineLevel="0" collapsed="false">
      <c r="A99" s="2"/>
      <c r="B99" s="3"/>
      <c r="C99" s="3"/>
      <c r="D99" s="3"/>
      <c r="E99" s="4"/>
      <c r="F99" s="4"/>
      <c r="G99" s="4"/>
      <c r="H99" s="5" t="str">
        <f aca="false">IF(E99="","",ROUND(E99*Réglages!$B$3,2))</f>
        <v/>
      </c>
      <c r="I99" s="5" t="str">
        <f aca="false">IF(E99="","",ROUND(E99*Réglages!$B$4,2))</f>
        <v/>
      </c>
      <c r="J99" s="5" t="str">
        <f aca="false">IF(E99="","",F99+G99+H99+I99)</f>
        <v/>
      </c>
      <c r="K99" s="5" t="str">
        <f aca="false">IF(E99="","",E99-J99)</f>
        <v/>
      </c>
      <c r="L99" s="6" t="str">
        <f aca="false">IF(A99="","",DATE(YEAR(A99),MONTH(A99),1))</f>
        <v/>
      </c>
      <c r="M99" s="3"/>
    </row>
    <row r="100" customFormat="false" ht="15" hidden="false" customHeight="false" outlineLevel="0" collapsed="false">
      <c r="A100" s="2"/>
      <c r="B100" s="3"/>
      <c r="C100" s="3"/>
      <c r="D100" s="3"/>
      <c r="E100" s="4"/>
      <c r="F100" s="4"/>
      <c r="G100" s="4"/>
      <c r="H100" s="5" t="str">
        <f aca="false">IF(E100="","",ROUND(E100*Réglages!$B$3,2))</f>
        <v/>
      </c>
      <c r="I100" s="5" t="str">
        <f aca="false">IF(E100="","",ROUND(E100*Réglages!$B$4,2))</f>
        <v/>
      </c>
      <c r="J100" s="5" t="str">
        <f aca="false">IF(E100="","",F100+G100+H100+I100)</f>
        <v/>
      </c>
      <c r="K100" s="5" t="str">
        <f aca="false">IF(E100="","",E100-J100)</f>
        <v/>
      </c>
      <c r="L100" s="6" t="str">
        <f aca="false">IF(A100="","",DATE(YEAR(A100),MONTH(A100),1))</f>
        <v/>
      </c>
      <c r="M100" s="3"/>
    </row>
    <row r="101" customFormat="false" ht="15" hidden="false" customHeight="false" outlineLevel="0" collapsed="false">
      <c r="A101" s="2"/>
      <c r="B101" s="3"/>
      <c r="C101" s="3"/>
      <c r="D101" s="3"/>
      <c r="E101" s="4"/>
      <c r="F101" s="4"/>
      <c r="G101" s="4"/>
      <c r="H101" s="5" t="str">
        <f aca="false">IF(E101="","",ROUND(E101*Réglages!$B$3,2))</f>
        <v/>
      </c>
      <c r="I101" s="5" t="str">
        <f aca="false">IF(E101="","",ROUND(E101*Réglages!$B$4,2))</f>
        <v/>
      </c>
      <c r="J101" s="5" t="str">
        <f aca="false">IF(E101="","",F101+G101+H101+I101)</f>
        <v/>
      </c>
      <c r="K101" s="5" t="str">
        <f aca="false">IF(E101="","",E101-J101)</f>
        <v/>
      </c>
      <c r="L101" s="6" t="str">
        <f aca="false">IF(A101="","",DATE(YEAR(A101),MONTH(A101),1))</f>
        <v/>
      </c>
      <c r="M101" s="3"/>
    </row>
    <row r="102" customFormat="false" ht="15" hidden="false" customHeight="false" outlineLevel="0" collapsed="false">
      <c r="A102" s="2"/>
      <c r="B102" s="3"/>
      <c r="C102" s="3"/>
      <c r="D102" s="3"/>
      <c r="E102" s="4"/>
      <c r="F102" s="4"/>
      <c r="G102" s="4"/>
      <c r="H102" s="5" t="str">
        <f aca="false">IF(E102="","",ROUND(E102*Réglages!$B$3,2))</f>
        <v/>
      </c>
      <c r="I102" s="5" t="str">
        <f aca="false">IF(E102="","",ROUND(E102*Réglages!$B$4,2))</f>
        <v/>
      </c>
      <c r="J102" s="5" t="str">
        <f aca="false">IF(E102="","",F102+G102+H102+I102)</f>
        <v/>
      </c>
      <c r="K102" s="5" t="str">
        <f aca="false">IF(E102="","",E102-J102)</f>
        <v/>
      </c>
      <c r="L102" s="6" t="str">
        <f aca="false">IF(A102="","",DATE(YEAR(A102),MONTH(A102),1))</f>
        <v/>
      </c>
      <c r="M102" s="3"/>
    </row>
    <row r="103" customFormat="false" ht="15" hidden="false" customHeight="false" outlineLevel="0" collapsed="false">
      <c r="A103" s="2"/>
      <c r="B103" s="3"/>
      <c r="C103" s="3"/>
      <c r="D103" s="3"/>
      <c r="E103" s="4"/>
      <c r="F103" s="4"/>
      <c r="G103" s="4"/>
      <c r="H103" s="5" t="str">
        <f aca="false">IF(E103="","",ROUND(E103*Réglages!$B$3,2))</f>
        <v/>
      </c>
      <c r="I103" s="5" t="str">
        <f aca="false">IF(E103="","",ROUND(E103*Réglages!$B$4,2))</f>
        <v/>
      </c>
      <c r="J103" s="5" t="str">
        <f aca="false">IF(E103="","",F103+G103+H103+I103)</f>
        <v/>
      </c>
      <c r="K103" s="5" t="str">
        <f aca="false">IF(E103="","",E103-J103)</f>
        <v/>
      </c>
      <c r="L103" s="6" t="str">
        <f aca="false">IF(A103="","",DATE(YEAR(A103),MONTH(A103),1))</f>
        <v/>
      </c>
      <c r="M103" s="3"/>
    </row>
    <row r="104" customFormat="false" ht="15" hidden="false" customHeight="false" outlineLevel="0" collapsed="false">
      <c r="A104" s="2"/>
      <c r="B104" s="3"/>
      <c r="C104" s="3"/>
      <c r="D104" s="3"/>
      <c r="E104" s="4"/>
      <c r="F104" s="4"/>
      <c r="G104" s="4"/>
      <c r="H104" s="5" t="str">
        <f aca="false">IF(E104="","",ROUND(E104*Réglages!$B$3,2))</f>
        <v/>
      </c>
      <c r="I104" s="5" t="str">
        <f aca="false">IF(E104="","",ROUND(E104*Réglages!$B$4,2))</f>
        <v/>
      </c>
      <c r="J104" s="5" t="str">
        <f aca="false">IF(E104="","",F104+G104+H104+I104)</f>
        <v/>
      </c>
      <c r="K104" s="5" t="str">
        <f aca="false">IF(E104="","",E104-J104)</f>
        <v/>
      </c>
      <c r="L104" s="6" t="str">
        <f aca="false">IF(A104="","",DATE(YEAR(A104),MONTH(A104),1))</f>
        <v/>
      </c>
      <c r="M104" s="3"/>
    </row>
    <row r="105" customFormat="false" ht="15" hidden="false" customHeight="false" outlineLevel="0" collapsed="false">
      <c r="A105" s="2"/>
      <c r="B105" s="3"/>
      <c r="C105" s="3"/>
      <c r="D105" s="3"/>
      <c r="E105" s="4"/>
      <c r="F105" s="4"/>
      <c r="G105" s="4"/>
      <c r="H105" s="5" t="str">
        <f aca="false">IF(E105="","",ROUND(E105*Réglages!$B$3,2))</f>
        <v/>
      </c>
      <c r="I105" s="5" t="str">
        <f aca="false">IF(E105="","",ROUND(E105*Réglages!$B$4,2))</f>
        <v/>
      </c>
      <c r="J105" s="5" t="str">
        <f aca="false">IF(E105="","",F105+G105+H105+I105)</f>
        <v/>
      </c>
      <c r="K105" s="5" t="str">
        <f aca="false">IF(E105="","",E105-J105)</f>
        <v/>
      </c>
      <c r="L105" s="6" t="str">
        <f aca="false">IF(A105="","",DATE(YEAR(A105),MONTH(A105),1))</f>
        <v/>
      </c>
      <c r="M105" s="3"/>
    </row>
    <row r="106" customFormat="false" ht="15" hidden="false" customHeight="false" outlineLevel="0" collapsed="false">
      <c r="A106" s="2"/>
      <c r="B106" s="3"/>
      <c r="C106" s="3"/>
      <c r="D106" s="3"/>
      <c r="E106" s="4"/>
      <c r="F106" s="4"/>
      <c r="G106" s="4"/>
      <c r="H106" s="5" t="str">
        <f aca="false">IF(E106="","",ROUND(E106*Réglages!$B$3,2))</f>
        <v/>
      </c>
      <c r="I106" s="5" t="str">
        <f aca="false">IF(E106="","",ROUND(E106*Réglages!$B$4,2))</f>
        <v/>
      </c>
      <c r="J106" s="5" t="str">
        <f aca="false">IF(E106="","",F106+G106+H106+I106)</f>
        <v/>
      </c>
      <c r="K106" s="5" t="str">
        <f aca="false">IF(E106="","",E106-J106)</f>
        <v/>
      </c>
      <c r="L106" s="6" t="str">
        <f aca="false">IF(A106="","",DATE(YEAR(A106),MONTH(A106),1))</f>
        <v/>
      </c>
      <c r="M106" s="3"/>
    </row>
    <row r="107" customFormat="false" ht="15" hidden="false" customHeight="false" outlineLevel="0" collapsed="false">
      <c r="A107" s="2"/>
      <c r="B107" s="3"/>
      <c r="C107" s="3"/>
      <c r="D107" s="3"/>
      <c r="E107" s="4"/>
      <c r="F107" s="4"/>
      <c r="G107" s="4"/>
      <c r="H107" s="5" t="str">
        <f aca="false">IF(E107="","",ROUND(E107*Réglages!$B$3,2))</f>
        <v/>
      </c>
      <c r="I107" s="5" t="str">
        <f aca="false">IF(E107="","",ROUND(E107*Réglages!$B$4,2))</f>
        <v/>
      </c>
      <c r="J107" s="5" t="str">
        <f aca="false">IF(E107="","",F107+G107+H107+I107)</f>
        <v/>
      </c>
      <c r="K107" s="5" t="str">
        <f aca="false">IF(E107="","",E107-J107)</f>
        <v/>
      </c>
      <c r="L107" s="6" t="str">
        <f aca="false">IF(A107="","",DATE(YEAR(A107),MONTH(A107),1))</f>
        <v/>
      </c>
      <c r="M107" s="3"/>
    </row>
    <row r="108" customFormat="false" ht="15" hidden="false" customHeight="false" outlineLevel="0" collapsed="false">
      <c r="A108" s="2"/>
      <c r="B108" s="3"/>
      <c r="C108" s="3"/>
      <c r="D108" s="3"/>
      <c r="E108" s="4"/>
      <c r="F108" s="4"/>
      <c r="G108" s="4"/>
      <c r="H108" s="5" t="str">
        <f aca="false">IF(E108="","",ROUND(E108*Réglages!$B$3,2))</f>
        <v/>
      </c>
      <c r="I108" s="5" t="str">
        <f aca="false">IF(E108="","",ROUND(E108*Réglages!$B$4,2))</f>
        <v/>
      </c>
      <c r="J108" s="5" t="str">
        <f aca="false">IF(E108="","",F108+G108+H108+I108)</f>
        <v/>
      </c>
      <c r="K108" s="5" t="str">
        <f aca="false">IF(E108="","",E108-J108)</f>
        <v/>
      </c>
      <c r="L108" s="6" t="str">
        <f aca="false">IF(A108="","",DATE(YEAR(A108),MONTH(A108),1))</f>
        <v/>
      </c>
      <c r="M108" s="3"/>
    </row>
    <row r="109" customFormat="false" ht="15" hidden="false" customHeight="false" outlineLevel="0" collapsed="false">
      <c r="A109" s="2"/>
      <c r="B109" s="3"/>
      <c r="C109" s="3"/>
      <c r="D109" s="3"/>
      <c r="E109" s="4"/>
      <c r="F109" s="4"/>
      <c r="G109" s="4"/>
      <c r="H109" s="5" t="str">
        <f aca="false">IF(E109="","",ROUND(E109*Réglages!$B$3,2))</f>
        <v/>
      </c>
      <c r="I109" s="5" t="str">
        <f aca="false">IF(E109="","",ROUND(E109*Réglages!$B$4,2))</f>
        <v/>
      </c>
      <c r="J109" s="5" t="str">
        <f aca="false">IF(E109="","",F109+G109+H109+I109)</f>
        <v/>
      </c>
      <c r="K109" s="5" t="str">
        <f aca="false">IF(E109="","",E109-J109)</f>
        <v/>
      </c>
      <c r="L109" s="6" t="str">
        <f aca="false">IF(A109="","",DATE(YEAR(A109),MONTH(A109),1))</f>
        <v/>
      </c>
      <c r="M109" s="3"/>
    </row>
    <row r="110" customFormat="false" ht="15" hidden="false" customHeight="false" outlineLevel="0" collapsed="false">
      <c r="A110" s="2"/>
      <c r="B110" s="3"/>
      <c r="C110" s="3"/>
      <c r="D110" s="3"/>
      <c r="E110" s="4"/>
      <c r="F110" s="4"/>
      <c r="G110" s="4"/>
      <c r="H110" s="5" t="str">
        <f aca="false">IF(E110="","",ROUND(E110*Réglages!$B$3,2))</f>
        <v/>
      </c>
      <c r="I110" s="5" t="str">
        <f aca="false">IF(E110="","",ROUND(E110*Réglages!$B$4,2))</f>
        <v/>
      </c>
      <c r="J110" s="5" t="str">
        <f aca="false">IF(E110="","",F110+G110+H110+I110)</f>
        <v/>
      </c>
      <c r="K110" s="5" t="str">
        <f aca="false">IF(E110="","",E110-J110)</f>
        <v/>
      </c>
      <c r="L110" s="6" t="str">
        <f aca="false">IF(A110="","",DATE(YEAR(A110),MONTH(A110),1))</f>
        <v/>
      </c>
      <c r="M110" s="3"/>
    </row>
    <row r="111" customFormat="false" ht="15" hidden="false" customHeight="false" outlineLevel="0" collapsed="false">
      <c r="A111" s="2"/>
      <c r="B111" s="3"/>
      <c r="C111" s="3"/>
      <c r="D111" s="3"/>
      <c r="E111" s="4"/>
      <c r="F111" s="4"/>
      <c r="G111" s="4"/>
      <c r="H111" s="5" t="str">
        <f aca="false">IF(E111="","",ROUND(E111*Réglages!$B$3,2))</f>
        <v/>
      </c>
      <c r="I111" s="5" t="str">
        <f aca="false">IF(E111="","",ROUND(E111*Réglages!$B$4,2))</f>
        <v/>
      </c>
      <c r="J111" s="5" t="str">
        <f aca="false">IF(E111="","",F111+G111+H111+I111)</f>
        <v/>
      </c>
      <c r="K111" s="5" t="str">
        <f aca="false">IF(E111="","",E111-J111)</f>
        <v/>
      </c>
      <c r="L111" s="6" t="str">
        <f aca="false">IF(A111="","",DATE(YEAR(A111),MONTH(A111),1))</f>
        <v/>
      </c>
      <c r="M111" s="3"/>
    </row>
    <row r="112" customFormat="false" ht="15" hidden="false" customHeight="false" outlineLevel="0" collapsed="false">
      <c r="A112" s="2"/>
      <c r="B112" s="3"/>
      <c r="C112" s="3"/>
      <c r="D112" s="3"/>
      <c r="E112" s="4"/>
      <c r="F112" s="4"/>
      <c r="G112" s="4"/>
      <c r="H112" s="5" t="str">
        <f aca="false">IF(E112="","",ROUND(E112*Réglages!$B$3,2))</f>
        <v/>
      </c>
      <c r="I112" s="5" t="str">
        <f aca="false">IF(E112="","",ROUND(E112*Réglages!$B$4,2))</f>
        <v/>
      </c>
      <c r="J112" s="5" t="str">
        <f aca="false">IF(E112="","",F112+G112+H112+I112)</f>
        <v/>
      </c>
      <c r="K112" s="5" t="str">
        <f aca="false">IF(E112="","",E112-J112)</f>
        <v/>
      </c>
      <c r="L112" s="6" t="str">
        <f aca="false">IF(A112="","",DATE(YEAR(A112),MONTH(A112),1))</f>
        <v/>
      </c>
      <c r="M112" s="3"/>
    </row>
    <row r="113" customFormat="false" ht="15" hidden="false" customHeight="false" outlineLevel="0" collapsed="false">
      <c r="A113" s="2"/>
      <c r="B113" s="3"/>
      <c r="C113" s="3"/>
      <c r="D113" s="3"/>
      <c r="E113" s="4"/>
      <c r="F113" s="4"/>
      <c r="G113" s="4"/>
      <c r="H113" s="5" t="str">
        <f aca="false">IF(E113="","",ROUND(E113*Réglages!$B$3,2))</f>
        <v/>
      </c>
      <c r="I113" s="5" t="str">
        <f aca="false">IF(E113="","",ROUND(E113*Réglages!$B$4,2))</f>
        <v/>
      </c>
      <c r="J113" s="5" t="str">
        <f aca="false">IF(E113="","",F113+G113+H113+I113)</f>
        <v/>
      </c>
      <c r="K113" s="5" t="str">
        <f aca="false">IF(E113="","",E113-J113)</f>
        <v/>
      </c>
      <c r="L113" s="6" t="str">
        <f aca="false">IF(A113="","",DATE(YEAR(A113),MONTH(A113),1))</f>
        <v/>
      </c>
      <c r="M113" s="3"/>
    </row>
    <row r="114" customFormat="false" ht="15" hidden="false" customHeight="false" outlineLevel="0" collapsed="false">
      <c r="A114" s="2"/>
      <c r="B114" s="3"/>
      <c r="C114" s="3"/>
      <c r="D114" s="3"/>
      <c r="E114" s="4"/>
      <c r="F114" s="4"/>
      <c r="G114" s="4"/>
      <c r="H114" s="5" t="str">
        <f aca="false">IF(E114="","",ROUND(E114*Réglages!$B$3,2))</f>
        <v/>
      </c>
      <c r="I114" s="5" t="str">
        <f aca="false">IF(E114="","",ROUND(E114*Réglages!$B$4,2))</f>
        <v/>
      </c>
      <c r="J114" s="5" t="str">
        <f aca="false">IF(E114="","",F114+G114+H114+I114)</f>
        <v/>
      </c>
      <c r="K114" s="5" t="str">
        <f aca="false">IF(E114="","",E114-J114)</f>
        <v/>
      </c>
      <c r="L114" s="6" t="str">
        <f aca="false">IF(A114="","",DATE(YEAR(A114),MONTH(A114),1))</f>
        <v/>
      </c>
      <c r="M114" s="3"/>
    </row>
    <row r="115" customFormat="false" ht="15" hidden="false" customHeight="false" outlineLevel="0" collapsed="false">
      <c r="A115" s="2"/>
      <c r="B115" s="3"/>
      <c r="C115" s="3"/>
      <c r="D115" s="3"/>
      <c r="E115" s="4"/>
      <c r="F115" s="4"/>
      <c r="G115" s="4"/>
      <c r="H115" s="5" t="str">
        <f aca="false">IF(E115="","",ROUND(E115*Réglages!$B$3,2))</f>
        <v/>
      </c>
      <c r="I115" s="5" t="str">
        <f aca="false">IF(E115="","",ROUND(E115*Réglages!$B$4,2))</f>
        <v/>
      </c>
      <c r="J115" s="5" t="str">
        <f aca="false">IF(E115="","",F115+G115+H115+I115)</f>
        <v/>
      </c>
      <c r="K115" s="5" t="str">
        <f aca="false">IF(E115="","",E115-J115)</f>
        <v/>
      </c>
      <c r="L115" s="6" t="str">
        <f aca="false">IF(A115="","",DATE(YEAR(A115),MONTH(A115),1))</f>
        <v/>
      </c>
      <c r="M115" s="3"/>
    </row>
    <row r="116" customFormat="false" ht="15" hidden="false" customHeight="false" outlineLevel="0" collapsed="false">
      <c r="A116" s="2"/>
      <c r="B116" s="3"/>
      <c r="C116" s="3"/>
      <c r="D116" s="3"/>
      <c r="E116" s="4"/>
      <c r="F116" s="4"/>
      <c r="G116" s="4"/>
      <c r="H116" s="5" t="str">
        <f aca="false">IF(E116="","",ROUND(E116*Réglages!$B$3,2))</f>
        <v/>
      </c>
      <c r="I116" s="5" t="str">
        <f aca="false">IF(E116="","",ROUND(E116*Réglages!$B$4,2))</f>
        <v/>
      </c>
      <c r="J116" s="5" t="str">
        <f aca="false">IF(E116="","",F116+G116+H116+I116)</f>
        <v/>
      </c>
      <c r="K116" s="5" t="str">
        <f aca="false">IF(E116="","",E116-J116)</f>
        <v/>
      </c>
      <c r="L116" s="6" t="str">
        <f aca="false">IF(A116="","",DATE(YEAR(A116),MONTH(A116),1))</f>
        <v/>
      </c>
      <c r="M116" s="3"/>
    </row>
    <row r="117" customFormat="false" ht="15" hidden="false" customHeight="false" outlineLevel="0" collapsed="false">
      <c r="A117" s="2"/>
      <c r="B117" s="3"/>
      <c r="C117" s="3"/>
      <c r="D117" s="3"/>
      <c r="E117" s="4"/>
      <c r="F117" s="4"/>
      <c r="G117" s="4"/>
      <c r="H117" s="5" t="str">
        <f aca="false">IF(E117="","",ROUND(E117*Réglages!$B$3,2))</f>
        <v/>
      </c>
      <c r="I117" s="5" t="str">
        <f aca="false">IF(E117="","",ROUND(E117*Réglages!$B$4,2))</f>
        <v/>
      </c>
      <c r="J117" s="5" t="str">
        <f aca="false">IF(E117="","",F117+G117+H117+I117)</f>
        <v/>
      </c>
      <c r="K117" s="5" t="str">
        <f aca="false">IF(E117="","",E117-J117)</f>
        <v/>
      </c>
      <c r="L117" s="6" t="str">
        <f aca="false">IF(A117="","",DATE(YEAR(A117),MONTH(A117),1))</f>
        <v/>
      </c>
      <c r="M117" s="3"/>
    </row>
    <row r="118" customFormat="false" ht="15" hidden="false" customHeight="false" outlineLevel="0" collapsed="false">
      <c r="A118" s="2"/>
      <c r="B118" s="3"/>
      <c r="C118" s="3"/>
      <c r="D118" s="3"/>
      <c r="E118" s="4"/>
      <c r="F118" s="4"/>
      <c r="G118" s="4"/>
      <c r="H118" s="5" t="str">
        <f aca="false">IF(E118="","",ROUND(E118*Réglages!$B$3,2))</f>
        <v/>
      </c>
      <c r="I118" s="5" t="str">
        <f aca="false">IF(E118="","",ROUND(E118*Réglages!$B$4,2))</f>
        <v/>
      </c>
      <c r="J118" s="5" t="str">
        <f aca="false">IF(E118="","",F118+G118+H118+I118)</f>
        <v/>
      </c>
      <c r="K118" s="5" t="str">
        <f aca="false">IF(E118="","",E118-J118)</f>
        <v/>
      </c>
      <c r="L118" s="6" t="str">
        <f aca="false">IF(A118="","",DATE(YEAR(A118),MONTH(A118),1))</f>
        <v/>
      </c>
      <c r="M118" s="3"/>
    </row>
    <row r="119" customFormat="false" ht="15" hidden="false" customHeight="false" outlineLevel="0" collapsed="false">
      <c r="A119" s="2"/>
      <c r="B119" s="3"/>
      <c r="C119" s="3"/>
      <c r="D119" s="3"/>
      <c r="E119" s="4"/>
      <c r="F119" s="4"/>
      <c r="G119" s="4"/>
      <c r="H119" s="5" t="str">
        <f aca="false">IF(E119="","",ROUND(E119*Réglages!$B$3,2))</f>
        <v/>
      </c>
      <c r="I119" s="5" t="str">
        <f aca="false">IF(E119="","",ROUND(E119*Réglages!$B$4,2))</f>
        <v/>
      </c>
      <c r="J119" s="5" t="str">
        <f aca="false">IF(E119="","",F119+G119+H119+I119)</f>
        <v/>
      </c>
      <c r="K119" s="5" t="str">
        <f aca="false">IF(E119="","",E119-J119)</f>
        <v/>
      </c>
      <c r="L119" s="6" t="str">
        <f aca="false">IF(A119="","",DATE(YEAR(A119),MONTH(A119),1))</f>
        <v/>
      </c>
      <c r="M119" s="3"/>
    </row>
    <row r="120" customFormat="false" ht="15" hidden="false" customHeight="false" outlineLevel="0" collapsed="false">
      <c r="A120" s="2"/>
      <c r="B120" s="3"/>
      <c r="C120" s="3"/>
      <c r="D120" s="3"/>
      <c r="E120" s="4"/>
      <c r="F120" s="4"/>
      <c r="G120" s="4"/>
      <c r="H120" s="5" t="str">
        <f aca="false">IF(E120="","",ROUND(E120*Réglages!$B$3,2))</f>
        <v/>
      </c>
      <c r="I120" s="5" t="str">
        <f aca="false">IF(E120="","",ROUND(E120*Réglages!$B$4,2))</f>
        <v/>
      </c>
      <c r="J120" s="5" t="str">
        <f aca="false">IF(E120="","",F120+G120+H120+I120)</f>
        <v/>
      </c>
      <c r="K120" s="5" t="str">
        <f aca="false">IF(E120="","",E120-J120)</f>
        <v/>
      </c>
      <c r="L120" s="6" t="str">
        <f aca="false">IF(A120="","",DATE(YEAR(A120),MONTH(A120),1))</f>
        <v/>
      </c>
      <c r="M120" s="3"/>
    </row>
    <row r="121" customFormat="false" ht="15" hidden="false" customHeight="false" outlineLevel="0" collapsed="false">
      <c r="A121" s="2"/>
      <c r="B121" s="3"/>
      <c r="C121" s="3"/>
      <c r="D121" s="3"/>
      <c r="E121" s="4"/>
      <c r="F121" s="4"/>
      <c r="G121" s="4"/>
      <c r="H121" s="5" t="str">
        <f aca="false">IF(E121="","",ROUND(E121*Réglages!$B$3,2))</f>
        <v/>
      </c>
      <c r="I121" s="5" t="str">
        <f aca="false">IF(E121="","",ROUND(E121*Réglages!$B$4,2))</f>
        <v/>
      </c>
      <c r="J121" s="5" t="str">
        <f aca="false">IF(E121="","",F121+G121+H121+I121)</f>
        <v/>
      </c>
      <c r="K121" s="5" t="str">
        <f aca="false">IF(E121="","",E121-J121)</f>
        <v/>
      </c>
      <c r="L121" s="6" t="str">
        <f aca="false">IF(A121="","",DATE(YEAR(A121),MONTH(A121),1))</f>
        <v/>
      </c>
      <c r="M121" s="3"/>
    </row>
    <row r="122" customFormat="false" ht="15" hidden="false" customHeight="false" outlineLevel="0" collapsed="false">
      <c r="A122" s="2"/>
      <c r="B122" s="3"/>
      <c r="C122" s="3"/>
      <c r="D122" s="3"/>
      <c r="E122" s="4"/>
      <c r="F122" s="4"/>
      <c r="G122" s="4"/>
      <c r="H122" s="5" t="str">
        <f aca="false">IF(E122="","",ROUND(E122*Réglages!$B$3,2))</f>
        <v/>
      </c>
      <c r="I122" s="5" t="str">
        <f aca="false">IF(E122="","",ROUND(E122*Réglages!$B$4,2))</f>
        <v/>
      </c>
      <c r="J122" s="5" t="str">
        <f aca="false">IF(E122="","",F122+G122+H122+I122)</f>
        <v/>
      </c>
      <c r="K122" s="5" t="str">
        <f aca="false">IF(E122="","",E122-J122)</f>
        <v/>
      </c>
      <c r="L122" s="6" t="str">
        <f aca="false">IF(A122="","",DATE(YEAR(A122),MONTH(A122),1))</f>
        <v/>
      </c>
      <c r="M122" s="3"/>
    </row>
    <row r="123" customFormat="false" ht="15" hidden="false" customHeight="false" outlineLevel="0" collapsed="false">
      <c r="A123" s="2"/>
      <c r="B123" s="3"/>
      <c r="C123" s="3"/>
      <c r="D123" s="3"/>
      <c r="E123" s="4"/>
      <c r="F123" s="4"/>
      <c r="G123" s="4"/>
      <c r="H123" s="5" t="str">
        <f aca="false">IF(E123="","",ROUND(E123*Réglages!$B$3,2))</f>
        <v/>
      </c>
      <c r="I123" s="5" t="str">
        <f aca="false">IF(E123="","",ROUND(E123*Réglages!$B$4,2))</f>
        <v/>
      </c>
      <c r="J123" s="5" t="str">
        <f aca="false">IF(E123="","",F123+G123+H123+I123)</f>
        <v/>
      </c>
      <c r="K123" s="5" t="str">
        <f aca="false">IF(E123="","",E123-J123)</f>
        <v/>
      </c>
      <c r="L123" s="6" t="str">
        <f aca="false">IF(A123="","",DATE(YEAR(A123),MONTH(A123),1))</f>
        <v/>
      </c>
      <c r="M123" s="3"/>
    </row>
    <row r="124" customFormat="false" ht="15" hidden="false" customHeight="false" outlineLevel="0" collapsed="false">
      <c r="A124" s="2"/>
      <c r="B124" s="3"/>
      <c r="C124" s="3"/>
      <c r="D124" s="3"/>
      <c r="E124" s="4"/>
      <c r="F124" s="4"/>
      <c r="G124" s="4"/>
      <c r="H124" s="5" t="str">
        <f aca="false">IF(E124="","",ROUND(E124*Réglages!$B$3,2))</f>
        <v/>
      </c>
      <c r="I124" s="5" t="str">
        <f aca="false">IF(E124="","",ROUND(E124*Réglages!$B$4,2))</f>
        <v/>
      </c>
      <c r="J124" s="5" t="str">
        <f aca="false">IF(E124="","",F124+G124+H124+I124)</f>
        <v/>
      </c>
      <c r="K124" s="5" t="str">
        <f aca="false">IF(E124="","",E124-J124)</f>
        <v/>
      </c>
      <c r="L124" s="6" t="str">
        <f aca="false">IF(A124="","",DATE(YEAR(A124),MONTH(A124),1))</f>
        <v/>
      </c>
      <c r="M124" s="3"/>
    </row>
    <row r="125" customFormat="false" ht="15" hidden="false" customHeight="false" outlineLevel="0" collapsed="false">
      <c r="A125" s="2"/>
      <c r="B125" s="3"/>
      <c r="C125" s="3"/>
      <c r="D125" s="3"/>
      <c r="E125" s="4"/>
      <c r="F125" s="4"/>
      <c r="G125" s="4"/>
      <c r="H125" s="5" t="str">
        <f aca="false">IF(E125="","",ROUND(E125*Réglages!$B$3,2))</f>
        <v/>
      </c>
      <c r="I125" s="5" t="str">
        <f aca="false">IF(E125="","",ROUND(E125*Réglages!$B$4,2))</f>
        <v/>
      </c>
      <c r="J125" s="5" t="str">
        <f aca="false">IF(E125="","",F125+G125+H125+I125)</f>
        <v/>
      </c>
      <c r="K125" s="5" t="str">
        <f aca="false">IF(E125="","",E125-J125)</f>
        <v/>
      </c>
      <c r="L125" s="6" t="str">
        <f aca="false">IF(A125="","",DATE(YEAR(A125),MONTH(A125),1))</f>
        <v/>
      </c>
      <c r="M125" s="3"/>
    </row>
    <row r="126" customFormat="false" ht="15" hidden="false" customHeight="false" outlineLevel="0" collapsed="false">
      <c r="A126" s="2"/>
      <c r="B126" s="3"/>
      <c r="C126" s="3"/>
      <c r="D126" s="3"/>
      <c r="E126" s="4"/>
      <c r="F126" s="4"/>
      <c r="G126" s="4"/>
      <c r="H126" s="5" t="str">
        <f aca="false">IF(E126="","",ROUND(E126*Réglages!$B$3,2))</f>
        <v/>
      </c>
      <c r="I126" s="5" t="str">
        <f aca="false">IF(E126="","",ROUND(E126*Réglages!$B$4,2))</f>
        <v/>
      </c>
      <c r="J126" s="5" t="str">
        <f aca="false">IF(E126="","",F126+G126+H126+I126)</f>
        <v/>
      </c>
      <c r="K126" s="5" t="str">
        <f aca="false">IF(E126="","",E126-J126)</f>
        <v/>
      </c>
      <c r="L126" s="6" t="str">
        <f aca="false">IF(A126="","",DATE(YEAR(A126),MONTH(A126),1))</f>
        <v/>
      </c>
      <c r="M126" s="3"/>
    </row>
    <row r="127" customFormat="false" ht="15" hidden="false" customHeight="false" outlineLevel="0" collapsed="false">
      <c r="A127" s="2"/>
      <c r="B127" s="3"/>
      <c r="C127" s="3"/>
      <c r="D127" s="3"/>
      <c r="E127" s="4"/>
      <c r="F127" s="4"/>
      <c r="G127" s="4"/>
      <c r="H127" s="5" t="str">
        <f aca="false">IF(E127="","",ROUND(E127*Réglages!$B$3,2))</f>
        <v/>
      </c>
      <c r="I127" s="5" t="str">
        <f aca="false">IF(E127="","",ROUND(E127*Réglages!$B$4,2))</f>
        <v/>
      </c>
      <c r="J127" s="5" t="str">
        <f aca="false">IF(E127="","",F127+G127+H127+I127)</f>
        <v/>
      </c>
      <c r="K127" s="5" t="str">
        <f aca="false">IF(E127="","",E127-J127)</f>
        <v/>
      </c>
      <c r="L127" s="6" t="str">
        <f aca="false">IF(A127="","",DATE(YEAR(A127),MONTH(A127),1))</f>
        <v/>
      </c>
      <c r="M127" s="3"/>
    </row>
    <row r="128" customFormat="false" ht="15" hidden="false" customHeight="false" outlineLevel="0" collapsed="false">
      <c r="A128" s="2"/>
      <c r="B128" s="3"/>
      <c r="C128" s="3"/>
      <c r="D128" s="3"/>
      <c r="E128" s="4"/>
      <c r="F128" s="4"/>
      <c r="G128" s="4"/>
      <c r="H128" s="5" t="str">
        <f aca="false">IF(E128="","",ROUND(E128*Réglages!$B$3,2))</f>
        <v/>
      </c>
      <c r="I128" s="5" t="str">
        <f aca="false">IF(E128="","",ROUND(E128*Réglages!$B$4,2))</f>
        <v/>
      </c>
      <c r="J128" s="5" t="str">
        <f aca="false">IF(E128="","",F128+G128+H128+I128)</f>
        <v/>
      </c>
      <c r="K128" s="5" t="str">
        <f aca="false">IF(E128="","",E128-J128)</f>
        <v/>
      </c>
      <c r="L128" s="6" t="str">
        <f aca="false">IF(A128="","",DATE(YEAR(A128),MONTH(A128),1))</f>
        <v/>
      </c>
      <c r="M128" s="3"/>
    </row>
    <row r="129" customFormat="false" ht="15" hidden="false" customHeight="false" outlineLevel="0" collapsed="false">
      <c r="A129" s="2"/>
      <c r="B129" s="3"/>
      <c r="C129" s="3"/>
      <c r="D129" s="3"/>
      <c r="E129" s="4"/>
      <c r="F129" s="4"/>
      <c r="G129" s="4"/>
      <c r="H129" s="5" t="str">
        <f aca="false">IF(E129="","",ROUND(E129*Réglages!$B$3,2))</f>
        <v/>
      </c>
      <c r="I129" s="5" t="str">
        <f aca="false">IF(E129="","",ROUND(E129*Réglages!$B$4,2))</f>
        <v/>
      </c>
      <c r="J129" s="5" t="str">
        <f aca="false">IF(E129="","",F129+G129+H129+I129)</f>
        <v/>
      </c>
      <c r="K129" s="5" t="str">
        <f aca="false">IF(E129="","",E129-J129)</f>
        <v/>
      </c>
      <c r="L129" s="6" t="str">
        <f aca="false">IF(A129="","",DATE(YEAR(A129),MONTH(A129),1))</f>
        <v/>
      </c>
      <c r="M129" s="3"/>
    </row>
    <row r="130" customFormat="false" ht="15" hidden="false" customHeight="false" outlineLevel="0" collapsed="false">
      <c r="A130" s="2"/>
      <c r="B130" s="3"/>
      <c r="C130" s="3"/>
      <c r="D130" s="3"/>
      <c r="E130" s="4"/>
      <c r="F130" s="4"/>
      <c r="G130" s="4"/>
      <c r="H130" s="5" t="str">
        <f aca="false">IF(E130="","",ROUND(E130*Réglages!$B$3,2))</f>
        <v/>
      </c>
      <c r="I130" s="5" t="str">
        <f aca="false">IF(E130="","",ROUND(E130*Réglages!$B$4,2))</f>
        <v/>
      </c>
      <c r="J130" s="5" t="str">
        <f aca="false">IF(E130="","",F130+G130+H130+I130)</f>
        <v/>
      </c>
      <c r="K130" s="5" t="str">
        <f aca="false">IF(E130="","",E130-J130)</f>
        <v/>
      </c>
      <c r="L130" s="6" t="str">
        <f aca="false">IF(A130="","",DATE(YEAR(A130),MONTH(A130),1))</f>
        <v/>
      </c>
      <c r="M130" s="3"/>
    </row>
    <row r="131" customFormat="false" ht="15" hidden="false" customHeight="false" outlineLevel="0" collapsed="false">
      <c r="A131" s="2"/>
      <c r="B131" s="3"/>
      <c r="C131" s="3"/>
      <c r="D131" s="3"/>
      <c r="E131" s="4"/>
      <c r="F131" s="4"/>
      <c r="G131" s="4"/>
      <c r="H131" s="5" t="str">
        <f aca="false">IF(E131="","",ROUND(E131*Réglages!$B$3,2))</f>
        <v/>
      </c>
      <c r="I131" s="5" t="str">
        <f aca="false">IF(E131="","",ROUND(E131*Réglages!$B$4,2))</f>
        <v/>
      </c>
      <c r="J131" s="5" t="str">
        <f aca="false">IF(E131="","",F131+G131+H131+I131)</f>
        <v/>
      </c>
      <c r="K131" s="5" t="str">
        <f aca="false">IF(E131="","",E131-J131)</f>
        <v/>
      </c>
      <c r="L131" s="6" t="str">
        <f aca="false">IF(A131="","",DATE(YEAR(A131),MONTH(A131),1))</f>
        <v/>
      </c>
      <c r="M131" s="3"/>
    </row>
    <row r="132" customFormat="false" ht="15" hidden="false" customHeight="false" outlineLevel="0" collapsed="false">
      <c r="A132" s="2"/>
      <c r="B132" s="3"/>
      <c r="C132" s="3"/>
      <c r="D132" s="3"/>
      <c r="E132" s="4"/>
      <c r="F132" s="4"/>
      <c r="G132" s="4"/>
      <c r="H132" s="5" t="str">
        <f aca="false">IF(E132="","",ROUND(E132*Réglages!$B$3,2))</f>
        <v/>
      </c>
      <c r="I132" s="5" t="str">
        <f aca="false">IF(E132="","",ROUND(E132*Réglages!$B$4,2))</f>
        <v/>
      </c>
      <c r="J132" s="5" t="str">
        <f aca="false">IF(E132="","",F132+G132+H132+I132)</f>
        <v/>
      </c>
      <c r="K132" s="5" t="str">
        <f aca="false">IF(E132="","",E132-J132)</f>
        <v/>
      </c>
      <c r="L132" s="6" t="str">
        <f aca="false">IF(A132="","",DATE(YEAR(A132),MONTH(A132),1))</f>
        <v/>
      </c>
      <c r="M132" s="3"/>
    </row>
    <row r="133" customFormat="false" ht="15" hidden="false" customHeight="false" outlineLevel="0" collapsed="false">
      <c r="A133" s="2"/>
      <c r="B133" s="3"/>
      <c r="C133" s="3"/>
      <c r="D133" s="3"/>
      <c r="E133" s="4"/>
      <c r="F133" s="4"/>
      <c r="G133" s="4"/>
      <c r="H133" s="5" t="str">
        <f aca="false">IF(E133="","",ROUND(E133*Réglages!$B$3,2))</f>
        <v/>
      </c>
      <c r="I133" s="5" t="str">
        <f aca="false">IF(E133="","",ROUND(E133*Réglages!$B$4,2))</f>
        <v/>
      </c>
      <c r="J133" s="5" t="str">
        <f aca="false">IF(E133="","",F133+G133+H133+I133)</f>
        <v/>
      </c>
      <c r="K133" s="5" t="str">
        <f aca="false">IF(E133="","",E133-J133)</f>
        <v/>
      </c>
      <c r="L133" s="6" t="str">
        <f aca="false">IF(A133="","",DATE(YEAR(A133),MONTH(A133),1))</f>
        <v/>
      </c>
      <c r="M133" s="3"/>
    </row>
    <row r="134" customFormat="false" ht="15" hidden="false" customHeight="false" outlineLevel="0" collapsed="false">
      <c r="A134" s="2"/>
      <c r="B134" s="3"/>
      <c r="C134" s="3"/>
      <c r="D134" s="3"/>
      <c r="E134" s="4"/>
      <c r="F134" s="4"/>
      <c r="G134" s="4"/>
      <c r="H134" s="5" t="str">
        <f aca="false">IF(E134="","",ROUND(E134*Réglages!$B$3,2))</f>
        <v/>
      </c>
      <c r="I134" s="5" t="str">
        <f aca="false">IF(E134="","",ROUND(E134*Réglages!$B$4,2))</f>
        <v/>
      </c>
      <c r="J134" s="5" t="str">
        <f aca="false">IF(E134="","",F134+G134+H134+I134)</f>
        <v/>
      </c>
      <c r="K134" s="5" t="str">
        <f aca="false">IF(E134="","",E134-J134)</f>
        <v/>
      </c>
      <c r="L134" s="6" t="str">
        <f aca="false">IF(A134="","",DATE(YEAR(A134),MONTH(A134),1))</f>
        <v/>
      </c>
      <c r="M134" s="3"/>
    </row>
    <row r="135" customFormat="false" ht="15" hidden="false" customHeight="false" outlineLevel="0" collapsed="false">
      <c r="A135" s="2"/>
      <c r="B135" s="3"/>
      <c r="C135" s="3"/>
      <c r="D135" s="3"/>
      <c r="E135" s="4"/>
      <c r="F135" s="4"/>
      <c r="G135" s="4"/>
      <c r="H135" s="5" t="str">
        <f aca="false">IF(E135="","",ROUND(E135*Réglages!$B$3,2))</f>
        <v/>
      </c>
      <c r="I135" s="5" t="str">
        <f aca="false">IF(E135="","",ROUND(E135*Réglages!$B$4,2))</f>
        <v/>
      </c>
      <c r="J135" s="5" t="str">
        <f aca="false">IF(E135="","",F135+G135+H135+I135)</f>
        <v/>
      </c>
      <c r="K135" s="5" t="str">
        <f aca="false">IF(E135="","",E135-J135)</f>
        <v/>
      </c>
      <c r="L135" s="6" t="str">
        <f aca="false">IF(A135="","",DATE(YEAR(A135),MONTH(A135),1))</f>
        <v/>
      </c>
      <c r="M135" s="3"/>
    </row>
    <row r="136" customFormat="false" ht="15" hidden="false" customHeight="false" outlineLevel="0" collapsed="false">
      <c r="A136" s="2"/>
      <c r="B136" s="3"/>
      <c r="C136" s="3"/>
      <c r="D136" s="3"/>
      <c r="E136" s="4"/>
      <c r="F136" s="4"/>
      <c r="G136" s="4"/>
      <c r="H136" s="5" t="str">
        <f aca="false">IF(E136="","",ROUND(E136*Réglages!$B$3,2))</f>
        <v/>
      </c>
      <c r="I136" s="5" t="str">
        <f aca="false">IF(E136="","",ROUND(E136*Réglages!$B$4,2))</f>
        <v/>
      </c>
      <c r="J136" s="5" t="str">
        <f aca="false">IF(E136="","",F136+G136+H136+I136)</f>
        <v/>
      </c>
      <c r="K136" s="5" t="str">
        <f aca="false">IF(E136="","",E136-J136)</f>
        <v/>
      </c>
      <c r="L136" s="6" t="str">
        <f aca="false">IF(A136="","",DATE(YEAR(A136),MONTH(A136),1))</f>
        <v/>
      </c>
      <c r="M136" s="3"/>
    </row>
    <row r="137" customFormat="false" ht="15" hidden="false" customHeight="false" outlineLevel="0" collapsed="false">
      <c r="A137" s="2"/>
      <c r="B137" s="3"/>
      <c r="C137" s="3"/>
      <c r="D137" s="3"/>
      <c r="E137" s="4"/>
      <c r="F137" s="4"/>
      <c r="G137" s="4"/>
      <c r="H137" s="5" t="str">
        <f aca="false">IF(E137="","",ROUND(E137*Réglages!$B$3,2))</f>
        <v/>
      </c>
      <c r="I137" s="5" t="str">
        <f aca="false">IF(E137="","",ROUND(E137*Réglages!$B$4,2))</f>
        <v/>
      </c>
      <c r="J137" s="5" t="str">
        <f aca="false">IF(E137="","",F137+G137+H137+I137)</f>
        <v/>
      </c>
      <c r="K137" s="5" t="str">
        <f aca="false">IF(E137="","",E137-J137)</f>
        <v/>
      </c>
      <c r="L137" s="6" t="str">
        <f aca="false">IF(A137="","",DATE(YEAR(A137),MONTH(A137),1))</f>
        <v/>
      </c>
      <c r="M137" s="3"/>
    </row>
    <row r="138" customFormat="false" ht="15" hidden="false" customHeight="false" outlineLevel="0" collapsed="false">
      <c r="A138" s="2"/>
      <c r="B138" s="3"/>
      <c r="C138" s="3"/>
      <c r="D138" s="3"/>
      <c r="E138" s="4"/>
      <c r="F138" s="4"/>
      <c r="G138" s="4"/>
      <c r="H138" s="5" t="str">
        <f aca="false">IF(E138="","",ROUND(E138*Réglages!$B$3,2))</f>
        <v/>
      </c>
      <c r="I138" s="5" t="str">
        <f aca="false">IF(E138="","",ROUND(E138*Réglages!$B$4,2))</f>
        <v/>
      </c>
      <c r="J138" s="5" t="str">
        <f aca="false">IF(E138="","",F138+G138+H138+I138)</f>
        <v/>
      </c>
      <c r="K138" s="5" t="str">
        <f aca="false">IF(E138="","",E138-J138)</f>
        <v/>
      </c>
      <c r="L138" s="6" t="str">
        <f aca="false">IF(A138="","",DATE(YEAR(A138),MONTH(A138),1))</f>
        <v/>
      </c>
      <c r="M138" s="3"/>
    </row>
    <row r="139" customFormat="false" ht="15" hidden="false" customHeight="false" outlineLevel="0" collapsed="false">
      <c r="A139" s="2"/>
      <c r="B139" s="3"/>
      <c r="C139" s="3"/>
      <c r="D139" s="3"/>
      <c r="E139" s="4"/>
      <c r="F139" s="4"/>
      <c r="G139" s="4"/>
      <c r="H139" s="5" t="str">
        <f aca="false">IF(E139="","",ROUND(E139*Réglages!$B$3,2))</f>
        <v/>
      </c>
      <c r="I139" s="5" t="str">
        <f aca="false">IF(E139="","",ROUND(E139*Réglages!$B$4,2))</f>
        <v/>
      </c>
      <c r="J139" s="5" t="str">
        <f aca="false">IF(E139="","",F139+G139+H139+I139)</f>
        <v/>
      </c>
      <c r="K139" s="5" t="str">
        <f aca="false">IF(E139="","",E139-J139)</f>
        <v/>
      </c>
      <c r="L139" s="6" t="str">
        <f aca="false">IF(A139="","",DATE(YEAR(A139),MONTH(A139),1))</f>
        <v/>
      </c>
      <c r="M139" s="3"/>
    </row>
    <row r="140" customFormat="false" ht="15" hidden="false" customHeight="false" outlineLevel="0" collapsed="false">
      <c r="A140" s="2"/>
      <c r="B140" s="3"/>
      <c r="C140" s="3"/>
      <c r="D140" s="3"/>
      <c r="E140" s="4"/>
      <c r="F140" s="4"/>
      <c r="G140" s="4"/>
      <c r="H140" s="5" t="str">
        <f aca="false">IF(E140="","",ROUND(E140*Réglages!$B$3,2))</f>
        <v/>
      </c>
      <c r="I140" s="5" t="str">
        <f aca="false">IF(E140="","",ROUND(E140*Réglages!$B$4,2))</f>
        <v/>
      </c>
      <c r="J140" s="5" t="str">
        <f aca="false">IF(E140="","",F140+G140+H140+I140)</f>
        <v/>
      </c>
      <c r="K140" s="5" t="str">
        <f aca="false">IF(E140="","",E140-J140)</f>
        <v/>
      </c>
      <c r="L140" s="6" t="str">
        <f aca="false">IF(A140="","",DATE(YEAR(A140),MONTH(A140),1))</f>
        <v/>
      </c>
      <c r="M140" s="3"/>
    </row>
    <row r="141" customFormat="false" ht="15" hidden="false" customHeight="false" outlineLevel="0" collapsed="false">
      <c r="A141" s="2"/>
      <c r="B141" s="3"/>
      <c r="C141" s="3"/>
      <c r="D141" s="3"/>
      <c r="E141" s="4"/>
      <c r="F141" s="4"/>
      <c r="G141" s="4"/>
      <c r="H141" s="5" t="str">
        <f aca="false">IF(E141="","",ROUND(E141*Réglages!$B$3,2))</f>
        <v/>
      </c>
      <c r="I141" s="5" t="str">
        <f aca="false">IF(E141="","",ROUND(E141*Réglages!$B$4,2))</f>
        <v/>
      </c>
      <c r="J141" s="5" t="str">
        <f aca="false">IF(E141="","",F141+G141+H141+I141)</f>
        <v/>
      </c>
      <c r="K141" s="5" t="str">
        <f aca="false">IF(E141="","",E141-J141)</f>
        <v/>
      </c>
      <c r="L141" s="6" t="str">
        <f aca="false">IF(A141="","",DATE(YEAR(A141),MONTH(A141),1))</f>
        <v/>
      </c>
      <c r="M141" s="3"/>
    </row>
    <row r="142" customFormat="false" ht="15" hidden="false" customHeight="false" outlineLevel="0" collapsed="false">
      <c r="A142" s="2"/>
      <c r="B142" s="3"/>
      <c r="C142" s="3"/>
      <c r="D142" s="3"/>
      <c r="E142" s="4"/>
      <c r="F142" s="4"/>
      <c r="G142" s="4"/>
      <c r="H142" s="5" t="str">
        <f aca="false">IF(E142="","",ROUND(E142*Réglages!$B$3,2))</f>
        <v/>
      </c>
      <c r="I142" s="5" t="str">
        <f aca="false">IF(E142="","",ROUND(E142*Réglages!$B$4,2))</f>
        <v/>
      </c>
      <c r="J142" s="5" t="str">
        <f aca="false">IF(E142="","",F142+G142+H142+I142)</f>
        <v/>
      </c>
      <c r="K142" s="5" t="str">
        <f aca="false">IF(E142="","",E142-J142)</f>
        <v/>
      </c>
      <c r="L142" s="6" t="str">
        <f aca="false">IF(A142="","",DATE(YEAR(A142),MONTH(A142),1))</f>
        <v/>
      </c>
      <c r="M142" s="3"/>
    </row>
    <row r="143" customFormat="false" ht="15" hidden="false" customHeight="false" outlineLevel="0" collapsed="false">
      <c r="A143" s="2"/>
      <c r="B143" s="3"/>
      <c r="C143" s="3"/>
      <c r="D143" s="3"/>
      <c r="E143" s="4"/>
      <c r="F143" s="4"/>
      <c r="G143" s="4"/>
      <c r="H143" s="5" t="str">
        <f aca="false">IF(E143="","",ROUND(E143*Réglages!$B$3,2))</f>
        <v/>
      </c>
      <c r="I143" s="5" t="str">
        <f aca="false">IF(E143="","",ROUND(E143*Réglages!$B$4,2))</f>
        <v/>
      </c>
      <c r="J143" s="5" t="str">
        <f aca="false">IF(E143="","",F143+G143+H143+I143)</f>
        <v/>
      </c>
      <c r="K143" s="5" t="str">
        <f aca="false">IF(E143="","",E143-J143)</f>
        <v/>
      </c>
      <c r="L143" s="6" t="str">
        <f aca="false">IF(A143="","",DATE(YEAR(A143),MONTH(A143),1))</f>
        <v/>
      </c>
      <c r="M143" s="3"/>
    </row>
    <row r="144" customFormat="false" ht="15" hidden="false" customHeight="false" outlineLevel="0" collapsed="false">
      <c r="A144" s="2"/>
      <c r="B144" s="3"/>
      <c r="C144" s="3"/>
      <c r="D144" s="3"/>
      <c r="E144" s="4"/>
      <c r="F144" s="4"/>
      <c r="G144" s="4"/>
      <c r="H144" s="5" t="str">
        <f aca="false">IF(E144="","",ROUND(E144*Réglages!$B$3,2))</f>
        <v/>
      </c>
      <c r="I144" s="5" t="str">
        <f aca="false">IF(E144="","",ROUND(E144*Réglages!$B$4,2))</f>
        <v/>
      </c>
      <c r="J144" s="5" t="str">
        <f aca="false">IF(E144="","",F144+G144+H144+I144)</f>
        <v/>
      </c>
      <c r="K144" s="5" t="str">
        <f aca="false">IF(E144="","",E144-J144)</f>
        <v/>
      </c>
      <c r="L144" s="6" t="str">
        <f aca="false">IF(A144="","",DATE(YEAR(A144),MONTH(A144),1))</f>
        <v/>
      </c>
      <c r="M144" s="3"/>
    </row>
    <row r="145" customFormat="false" ht="15" hidden="false" customHeight="false" outlineLevel="0" collapsed="false">
      <c r="A145" s="2"/>
      <c r="B145" s="3"/>
      <c r="C145" s="3"/>
      <c r="D145" s="3"/>
      <c r="E145" s="4"/>
      <c r="F145" s="4"/>
      <c r="G145" s="4"/>
      <c r="H145" s="5" t="str">
        <f aca="false">IF(E145="","",ROUND(E145*Réglages!$B$3,2))</f>
        <v/>
      </c>
      <c r="I145" s="5" t="str">
        <f aca="false">IF(E145="","",ROUND(E145*Réglages!$B$4,2))</f>
        <v/>
      </c>
      <c r="J145" s="5" t="str">
        <f aca="false">IF(E145="","",F145+G145+H145+I145)</f>
        <v/>
      </c>
      <c r="K145" s="5" t="str">
        <f aca="false">IF(E145="","",E145-J145)</f>
        <v/>
      </c>
      <c r="L145" s="6" t="str">
        <f aca="false">IF(A145="","",DATE(YEAR(A145),MONTH(A145),1))</f>
        <v/>
      </c>
      <c r="M145" s="3"/>
    </row>
    <row r="146" customFormat="false" ht="15" hidden="false" customHeight="false" outlineLevel="0" collapsed="false">
      <c r="A146" s="2"/>
      <c r="B146" s="3"/>
      <c r="C146" s="3"/>
      <c r="D146" s="3"/>
      <c r="E146" s="4"/>
      <c r="F146" s="4"/>
      <c r="G146" s="4"/>
      <c r="H146" s="5" t="str">
        <f aca="false">IF(E146="","",ROUND(E146*Réglages!$B$3,2))</f>
        <v/>
      </c>
      <c r="I146" s="5" t="str">
        <f aca="false">IF(E146="","",ROUND(E146*Réglages!$B$4,2))</f>
        <v/>
      </c>
      <c r="J146" s="5" t="str">
        <f aca="false">IF(E146="","",F146+G146+H146+I146)</f>
        <v/>
      </c>
      <c r="K146" s="5" t="str">
        <f aca="false">IF(E146="","",E146-J146)</f>
        <v/>
      </c>
      <c r="L146" s="6" t="str">
        <f aca="false">IF(A146="","",DATE(YEAR(A146),MONTH(A146),1))</f>
        <v/>
      </c>
      <c r="M146" s="3"/>
    </row>
    <row r="147" customFormat="false" ht="15" hidden="false" customHeight="false" outlineLevel="0" collapsed="false">
      <c r="A147" s="2"/>
      <c r="B147" s="3"/>
      <c r="C147" s="3"/>
      <c r="D147" s="3"/>
      <c r="E147" s="4"/>
      <c r="F147" s="4"/>
      <c r="G147" s="4"/>
      <c r="H147" s="5" t="str">
        <f aca="false">IF(E147="","",ROUND(E147*Réglages!$B$3,2))</f>
        <v/>
      </c>
      <c r="I147" s="5" t="str">
        <f aca="false">IF(E147="","",ROUND(E147*Réglages!$B$4,2))</f>
        <v/>
      </c>
      <c r="J147" s="5" t="str">
        <f aca="false">IF(E147="","",F147+G147+H147+I147)</f>
        <v/>
      </c>
      <c r="K147" s="5" t="str">
        <f aca="false">IF(E147="","",E147-J147)</f>
        <v/>
      </c>
      <c r="L147" s="6" t="str">
        <f aca="false">IF(A147="","",DATE(YEAR(A147),MONTH(A147),1))</f>
        <v/>
      </c>
      <c r="M147" s="3"/>
    </row>
    <row r="148" customFormat="false" ht="15" hidden="false" customHeight="false" outlineLevel="0" collapsed="false">
      <c r="A148" s="2"/>
      <c r="B148" s="3"/>
      <c r="C148" s="3"/>
      <c r="D148" s="3"/>
      <c r="E148" s="4"/>
      <c r="F148" s="4"/>
      <c r="G148" s="4"/>
      <c r="H148" s="5" t="str">
        <f aca="false">IF(E148="","",ROUND(E148*Réglages!$B$3,2))</f>
        <v/>
      </c>
      <c r="I148" s="5" t="str">
        <f aca="false">IF(E148="","",ROUND(E148*Réglages!$B$4,2))</f>
        <v/>
      </c>
      <c r="J148" s="5" t="str">
        <f aca="false">IF(E148="","",F148+G148+H148+I148)</f>
        <v/>
      </c>
      <c r="K148" s="5" t="str">
        <f aca="false">IF(E148="","",E148-J148)</f>
        <v/>
      </c>
      <c r="L148" s="6" t="str">
        <f aca="false">IF(A148="","",DATE(YEAR(A148),MONTH(A148),1))</f>
        <v/>
      </c>
      <c r="M148" s="3"/>
    </row>
    <row r="149" customFormat="false" ht="15" hidden="false" customHeight="false" outlineLevel="0" collapsed="false">
      <c r="A149" s="2"/>
      <c r="B149" s="3"/>
      <c r="C149" s="3"/>
      <c r="D149" s="3"/>
      <c r="E149" s="4"/>
      <c r="F149" s="4"/>
      <c r="G149" s="4"/>
      <c r="H149" s="5" t="str">
        <f aca="false">IF(E149="","",ROUND(E149*Réglages!$B$3,2))</f>
        <v/>
      </c>
      <c r="I149" s="5" t="str">
        <f aca="false">IF(E149="","",ROUND(E149*Réglages!$B$4,2))</f>
        <v/>
      </c>
      <c r="J149" s="5" t="str">
        <f aca="false">IF(E149="","",F149+G149+H149+I149)</f>
        <v/>
      </c>
      <c r="K149" s="5" t="str">
        <f aca="false">IF(E149="","",E149-J149)</f>
        <v/>
      </c>
      <c r="L149" s="6" t="str">
        <f aca="false">IF(A149="","",DATE(YEAR(A149),MONTH(A149),1))</f>
        <v/>
      </c>
      <c r="M149" s="3"/>
    </row>
    <row r="150" customFormat="false" ht="15" hidden="false" customHeight="false" outlineLevel="0" collapsed="false">
      <c r="A150" s="2"/>
      <c r="B150" s="3"/>
      <c r="C150" s="3"/>
      <c r="D150" s="3"/>
      <c r="E150" s="4"/>
      <c r="F150" s="4"/>
      <c r="G150" s="4"/>
      <c r="H150" s="5" t="str">
        <f aca="false">IF(E150="","",ROUND(E150*Réglages!$B$3,2))</f>
        <v/>
      </c>
      <c r="I150" s="5" t="str">
        <f aca="false">IF(E150="","",ROUND(E150*Réglages!$B$4,2))</f>
        <v/>
      </c>
      <c r="J150" s="5" t="str">
        <f aca="false">IF(E150="","",F150+G150+H150+I150)</f>
        <v/>
      </c>
      <c r="K150" s="5" t="str">
        <f aca="false">IF(E150="","",E150-J150)</f>
        <v/>
      </c>
      <c r="L150" s="6" t="str">
        <f aca="false">IF(A150="","",DATE(YEAR(A150),MONTH(A150),1))</f>
        <v/>
      </c>
      <c r="M150" s="3"/>
    </row>
    <row r="151" customFormat="false" ht="15" hidden="false" customHeight="false" outlineLevel="0" collapsed="false">
      <c r="A151" s="2"/>
      <c r="B151" s="3"/>
      <c r="C151" s="3"/>
      <c r="D151" s="3"/>
      <c r="E151" s="4"/>
      <c r="F151" s="4"/>
      <c r="G151" s="4"/>
      <c r="H151" s="5" t="str">
        <f aca="false">IF(E151="","",ROUND(E151*Réglages!$B$3,2))</f>
        <v/>
      </c>
      <c r="I151" s="5" t="str">
        <f aca="false">IF(E151="","",ROUND(E151*Réglages!$B$4,2))</f>
        <v/>
      </c>
      <c r="J151" s="5" t="str">
        <f aca="false">IF(E151="","",F151+G151+H151+I151)</f>
        <v/>
      </c>
      <c r="K151" s="5" t="str">
        <f aca="false">IF(E151="","",E151-J151)</f>
        <v/>
      </c>
      <c r="L151" s="6" t="str">
        <f aca="false">IF(A151="","",DATE(YEAR(A151),MONTH(A151),1))</f>
        <v/>
      </c>
      <c r="M151" s="3"/>
    </row>
    <row r="152" customFormat="false" ht="15" hidden="false" customHeight="false" outlineLevel="0" collapsed="false">
      <c r="A152" s="2"/>
      <c r="B152" s="3"/>
      <c r="C152" s="3"/>
      <c r="D152" s="3"/>
      <c r="E152" s="4"/>
      <c r="F152" s="4"/>
      <c r="G152" s="4"/>
      <c r="H152" s="5" t="str">
        <f aca="false">IF(E152="","",ROUND(E152*Réglages!$B$3,2))</f>
        <v/>
      </c>
      <c r="I152" s="5" t="str">
        <f aca="false">IF(E152="","",ROUND(E152*Réglages!$B$4,2))</f>
        <v/>
      </c>
      <c r="J152" s="5" t="str">
        <f aca="false">IF(E152="","",F152+G152+H152+I152)</f>
        <v/>
      </c>
      <c r="K152" s="5" t="str">
        <f aca="false">IF(E152="","",E152-J152)</f>
        <v/>
      </c>
      <c r="L152" s="6" t="str">
        <f aca="false">IF(A152="","",DATE(YEAR(A152),MONTH(A152),1))</f>
        <v/>
      </c>
      <c r="M152" s="3"/>
    </row>
    <row r="153" customFormat="false" ht="15" hidden="false" customHeight="false" outlineLevel="0" collapsed="false">
      <c r="A153" s="2"/>
      <c r="B153" s="3"/>
      <c r="C153" s="3"/>
      <c r="D153" s="3"/>
      <c r="E153" s="4"/>
      <c r="F153" s="4"/>
      <c r="G153" s="4"/>
      <c r="H153" s="5" t="str">
        <f aca="false">IF(E153="","",ROUND(E153*Réglages!$B$3,2))</f>
        <v/>
      </c>
      <c r="I153" s="5" t="str">
        <f aca="false">IF(E153="","",ROUND(E153*Réglages!$B$4,2))</f>
        <v/>
      </c>
      <c r="J153" s="5" t="str">
        <f aca="false">IF(E153="","",F153+G153+H153+I153)</f>
        <v/>
      </c>
      <c r="K153" s="5" t="str">
        <f aca="false">IF(E153="","",E153-J153)</f>
        <v/>
      </c>
      <c r="L153" s="6" t="str">
        <f aca="false">IF(A153="","",DATE(YEAR(A153),MONTH(A153),1))</f>
        <v/>
      </c>
      <c r="M153" s="3"/>
    </row>
    <row r="154" customFormat="false" ht="15" hidden="false" customHeight="false" outlineLevel="0" collapsed="false">
      <c r="A154" s="2"/>
      <c r="B154" s="3"/>
      <c r="C154" s="3"/>
      <c r="D154" s="3"/>
      <c r="E154" s="4"/>
      <c r="F154" s="4"/>
      <c r="G154" s="4"/>
      <c r="H154" s="5" t="str">
        <f aca="false">IF(E154="","",ROUND(E154*Réglages!$B$3,2))</f>
        <v/>
      </c>
      <c r="I154" s="5" t="str">
        <f aca="false">IF(E154="","",ROUND(E154*Réglages!$B$4,2))</f>
        <v/>
      </c>
      <c r="J154" s="5" t="str">
        <f aca="false">IF(E154="","",F154+G154+H154+I154)</f>
        <v/>
      </c>
      <c r="K154" s="5" t="str">
        <f aca="false">IF(E154="","",E154-J154)</f>
        <v/>
      </c>
      <c r="L154" s="6" t="str">
        <f aca="false">IF(A154="","",DATE(YEAR(A154),MONTH(A154),1))</f>
        <v/>
      </c>
      <c r="M154" s="3"/>
    </row>
    <row r="155" customFormat="false" ht="15" hidden="false" customHeight="false" outlineLevel="0" collapsed="false">
      <c r="A155" s="2"/>
      <c r="B155" s="3"/>
      <c r="C155" s="3"/>
      <c r="D155" s="3"/>
      <c r="E155" s="4"/>
      <c r="F155" s="4"/>
      <c r="G155" s="4"/>
      <c r="H155" s="5" t="str">
        <f aca="false">IF(E155="","",ROUND(E155*Réglages!$B$3,2))</f>
        <v/>
      </c>
      <c r="I155" s="5" t="str">
        <f aca="false">IF(E155="","",ROUND(E155*Réglages!$B$4,2))</f>
        <v/>
      </c>
      <c r="J155" s="5" t="str">
        <f aca="false">IF(E155="","",F155+G155+H155+I155)</f>
        <v/>
      </c>
      <c r="K155" s="5" t="str">
        <f aca="false">IF(E155="","",E155-J155)</f>
        <v/>
      </c>
      <c r="L155" s="6" t="str">
        <f aca="false">IF(A155="","",DATE(YEAR(A155),MONTH(A155),1))</f>
        <v/>
      </c>
      <c r="M155" s="3"/>
    </row>
    <row r="156" customFormat="false" ht="15" hidden="false" customHeight="false" outlineLevel="0" collapsed="false">
      <c r="A156" s="2"/>
      <c r="B156" s="3"/>
      <c r="C156" s="3"/>
      <c r="D156" s="3"/>
      <c r="E156" s="4"/>
      <c r="F156" s="4"/>
      <c r="G156" s="4"/>
      <c r="H156" s="5" t="str">
        <f aca="false">IF(E156="","",ROUND(E156*Réglages!$B$3,2))</f>
        <v/>
      </c>
      <c r="I156" s="5" t="str">
        <f aca="false">IF(E156="","",ROUND(E156*Réglages!$B$4,2))</f>
        <v/>
      </c>
      <c r="J156" s="5" t="str">
        <f aca="false">IF(E156="","",F156+G156+H156+I156)</f>
        <v/>
      </c>
      <c r="K156" s="5" t="str">
        <f aca="false">IF(E156="","",E156-J156)</f>
        <v/>
      </c>
      <c r="L156" s="6" t="str">
        <f aca="false">IF(A156="","",DATE(YEAR(A156),MONTH(A156),1))</f>
        <v/>
      </c>
      <c r="M156" s="3"/>
    </row>
    <row r="157" customFormat="false" ht="15" hidden="false" customHeight="false" outlineLevel="0" collapsed="false">
      <c r="A157" s="2"/>
      <c r="B157" s="3"/>
      <c r="C157" s="3"/>
      <c r="D157" s="3"/>
      <c r="E157" s="4"/>
      <c r="F157" s="4"/>
      <c r="G157" s="4"/>
      <c r="H157" s="5" t="str">
        <f aca="false">IF(E157="","",ROUND(E157*Réglages!$B$3,2))</f>
        <v/>
      </c>
      <c r="I157" s="5" t="str">
        <f aca="false">IF(E157="","",ROUND(E157*Réglages!$B$4,2))</f>
        <v/>
      </c>
      <c r="J157" s="5" t="str">
        <f aca="false">IF(E157="","",F157+G157+H157+I157)</f>
        <v/>
      </c>
      <c r="K157" s="5" t="str">
        <f aca="false">IF(E157="","",E157-J157)</f>
        <v/>
      </c>
      <c r="L157" s="6" t="str">
        <f aca="false">IF(A157="","",DATE(YEAR(A157),MONTH(A157),1))</f>
        <v/>
      </c>
      <c r="M157" s="3"/>
    </row>
    <row r="158" customFormat="false" ht="15" hidden="false" customHeight="false" outlineLevel="0" collapsed="false">
      <c r="A158" s="2"/>
      <c r="B158" s="3"/>
      <c r="C158" s="3"/>
      <c r="D158" s="3"/>
      <c r="E158" s="4"/>
      <c r="F158" s="4"/>
      <c r="G158" s="4"/>
      <c r="H158" s="5" t="str">
        <f aca="false">IF(E158="","",ROUND(E158*Réglages!$B$3,2))</f>
        <v/>
      </c>
      <c r="I158" s="5" t="str">
        <f aca="false">IF(E158="","",ROUND(E158*Réglages!$B$4,2))</f>
        <v/>
      </c>
      <c r="J158" s="5" t="str">
        <f aca="false">IF(E158="","",F158+G158+H158+I158)</f>
        <v/>
      </c>
      <c r="K158" s="5" t="str">
        <f aca="false">IF(E158="","",E158-J158)</f>
        <v/>
      </c>
      <c r="L158" s="6" t="str">
        <f aca="false">IF(A158="","",DATE(YEAR(A158),MONTH(A158),1))</f>
        <v/>
      </c>
      <c r="M158" s="3"/>
    </row>
    <row r="159" customFormat="false" ht="15" hidden="false" customHeight="false" outlineLevel="0" collapsed="false">
      <c r="A159" s="2"/>
      <c r="B159" s="3"/>
      <c r="C159" s="3"/>
      <c r="D159" s="3"/>
      <c r="E159" s="4"/>
      <c r="F159" s="4"/>
      <c r="G159" s="4"/>
      <c r="H159" s="5" t="str">
        <f aca="false">IF(E159="","",ROUND(E159*Réglages!$B$3,2))</f>
        <v/>
      </c>
      <c r="I159" s="5" t="str">
        <f aca="false">IF(E159="","",ROUND(E159*Réglages!$B$4,2))</f>
        <v/>
      </c>
      <c r="J159" s="5" t="str">
        <f aca="false">IF(E159="","",F159+G159+H159+I159)</f>
        <v/>
      </c>
      <c r="K159" s="5" t="str">
        <f aca="false">IF(E159="","",E159-J159)</f>
        <v/>
      </c>
      <c r="L159" s="6" t="str">
        <f aca="false">IF(A159="","",DATE(YEAR(A159),MONTH(A159),1))</f>
        <v/>
      </c>
      <c r="M159" s="3"/>
    </row>
    <row r="160" customFormat="false" ht="15" hidden="false" customHeight="false" outlineLevel="0" collapsed="false">
      <c r="A160" s="2"/>
      <c r="B160" s="3"/>
      <c r="C160" s="3"/>
      <c r="D160" s="3"/>
      <c r="E160" s="4"/>
      <c r="F160" s="4"/>
      <c r="G160" s="4"/>
      <c r="H160" s="5" t="str">
        <f aca="false">IF(E160="","",ROUND(E160*Réglages!$B$3,2))</f>
        <v/>
      </c>
      <c r="I160" s="5" t="str">
        <f aca="false">IF(E160="","",ROUND(E160*Réglages!$B$4,2))</f>
        <v/>
      </c>
      <c r="J160" s="5" t="str">
        <f aca="false">IF(E160="","",F160+G160+H160+I160)</f>
        <v/>
      </c>
      <c r="K160" s="5" t="str">
        <f aca="false">IF(E160="","",E160-J160)</f>
        <v/>
      </c>
      <c r="L160" s="6" t="str">
        <f aca="false">IF(A160="","",DATE(YEAR(A160),MONTH(A160),1))</f>
        <v/>
      </c>
      <c r="M160" s="3"/>
    </row>
    <row r="161" customFormat="false" ht="15" hidden="false" customHeight="false" outlineLevel="0" collapsed="false">
      <c r="A161" s="2"/>
      <c r="B161" s="3"/>
      <c r="C161" s="3"/>
      <c r="D161" s="3"/>
      <c r="E161" s="4"/>
      <c r="F161" s="4"/>
      <c r="G161" s="4"/>
      <c r="H161" s="5" t="str">
        <f aca="false">IF(E161="","",ROUND(E161*Réglages!$B$3,2))</f>
        <v/>
      </c>
      <c r="I161" s="5" t="str">
        <f aca="false">IF(E161="","",ROUND(E161*Réglages!$B$4,2))</f>
        <v/>
      </c>
      <c r="J161" s="5" t="str">
        <f aca="false">IF(E161="","",F161+G161+H161+I161)</f>
        <v/>
      </c>
      <c r="K161" s="5" t="str">
        <f aca="false">IF(E161="","",E161-J161)</f>
        <v/>
      </c>
      <c r="L161" s="6" t="str">
        <f aca="false">IF(A161="","",DATE(YEAR(A161),MONTH(A161),1))</f>
        <v/>
      </c>
      <c r="M161" s="3"/>
    </row>
    <row r="162" customFormat="false" ht="15" hidden="false" customHeight="false" outlineLevel="0" collapsed="false">
      <c r="A162" s="2"/>
      <c r="B162" s="3"/>
      <c r="C162" s="3"/>
      <c r="D162" s="3"/>
      <c r="E162" s="4"/>
      <c r="F162" s="4"/>
      <c r="G162" s="4"/>
      <c r="H162" s="5" t="str">
        <f aca="false">IF(E162="","",ROUND(E162*Réglages!$B$3,2))</f>
        <v/>
      </c>
      <c r="I162" s="5" t="str">
        <f aca="false">IF(E162="","",ROUND(E162*Réglages!$B$4,2))</f>
        <v/>
      </c>
      <c r="J162" s="5" t="str">
        <f aca="false">IF(E162="","",F162+G162+H162+I162)</f>
        <v/>
      </c>
      <c r="K162" s="5" t="str">
        <f aca="false">IF(E162="","",E162-J162)</f>
        <v/>
      </c>
      <c r="L162" s="6" t="str">
        <f aca="false">IF(A162="","",DATE(YEAR(A162),MONTH(A162),1))</f>
        <v/>
      </c>
      <c r="M162" s="3"/>
    </row>
    <row r="163" customFormat="false" ht="15" hidden="false" customHeight="false" outlineLevel="0" collapsed="false">
      <c r="A163" s="2"/>
      <c r="B163" s="3"/>
      <c r="C163" s="3"/>
      <c r="D163" s="3"/>
      <c r="E163" s="4"/>
      <c r="F163" s="4"/>
      <c r="G163" s="4"/>
      <c r="H163" s="5" t="str">
        <f aca="false">IF(E163="","",ROUND(E163*Réglages!$B$3,2))</f>
        <v/>
      </c>
      <c r="I163" s="5" t="str">
        <f aca="false">IF(E163="","",ROUND(E163*Réglages!$B$4,2))</f>
        <v/>
      </c>
      <c r="J163" s="5" t="str">
        <f aca="false">IF(E163="","",F163+G163+H163+I163)</f>
        <v/>
      </c>
      <c r="K163" s="5" t="str">
        <f aca="false">IF(E163="","",E163-J163)</f>
        <v/>
      </c>
      <c r="L163" s="6" t="str">
        <f aca="false">IF(A163="","",DATE(YEAR(A163),MONTH(A163),1))</f>
        <v/>
      </c>
      <c r="M163" s="3"/>
    </row>
    <row r="164" customFormat="false" ht="15" hidden="false" customHeight="false" outlineLevel="0" collapsed="false">
      <c r="A164" s="2"/>
      <c r="B164" s="3"/>
      <c r="C164" s="3"/>
      <c r="D164" s="3"/>
      <c r="E164" s="4"/>
      <c r="F164" s="4"/>
      <c r="G164" s="4"/>
      <c r="H164" s="5" t="str">
        <f aca="false">IF(E164="","",ROUND(E164*Réglages!$B$3,2))</f>
        <v/>
      </c>
      <c r="I164" s="5" t="str">
        <f aca="false">IF(E164="","",ROUND(E164*Réglages!$B$4,2))</f>
        <v/>
      </c>
      <c r="J164" s="5" t="str">
        <f aca="false">IF(E164="","",F164+G164+H164+I164)</f>
        <v/>
      </c>
      <c r="K164" s="5" t="str">
        <f aca="false">IF(E164="","",E164-J164)</f>
        <v/>
      </c>
      <c r="L164" s="6" t="str">
        <f aca="false">IF(A164="","",DATE(YEAR(A164),MONTH(A164),1))</f>
        <v/>
      </c>
      <c r="M164" s="3"/>
    </row>
    <row r="165" customFormat="false" ht="15" hidden="false" customHeight="false" outlineLevel="0" collapsed="false">
      <c r="A165" s="2"/>
      <c r="B165" s="3"/>
      <c r="C165" s="3"/>
      <c r="D165" s="3"/>
      <c r="E165" s="4"/>
      <c r="F165" s="4"/>
      <c r="G165" s="4"/>
      <c r="H165" s="5" t="str">
        <f aca="false">IF(E165="","",ROUND(E165*Réglages!$B$3,2))</f>
        <v/>
      </c>
      <c r="I165" s="5" t="str">
        <f aca="false">IF(E165="","",ROUND(E165*Réglages!$B$4,2))</f>
        <v/>
      </c>
      <c r="J165" s="5" t="str">
        <f aca="false">IF(E165="","",F165+G165+H165+I165)</f>
        <v/>
      </c>
      <c r="K165" s="5" t="str">
        <f aca="false">IF(E165="","",E165-J165)</f>
        <v/>
      </c>
      <c r="L165" s="6" t="str">
        <f aca="false">IF(A165="","",DATE(YEAR(A165),MONTH(A165),1))</f>
        <v/>
      </c>
      <c r="M165" s="3"/>
    </row>
    <row r="166" customFormat="false" ht="15" hidden="false" customHeight="false" outlineLevel="0" collapsed="false">
      <c r="A166" s="2"/>
      <c r="B166" s="3"/>
      <c r="C166" s="3"/>
      <c r="D166" s="3"/>
      <c r="E166" s="4"/>
      <c r="F166" s="4"/>
      <c r="G166" s="4"/>
      <c r="H166" s="5" t="str">
        <f aca="false">IF(E166="","",ROUND(E166*Réglages!$B$3,2))</f>
        <v/>
      </c>
      <c r="I166" s="5" t="str">
        <f aca="false">IF(E166="","",ROUND(E166*Réglages!$B$4,2))</f>
        <v/>
      </c>
      <c r="J166" s="5" t="str">
        <f aca="false">IF(E166="","",F166+G166+H166+I166)</f>
        <v/>
      </c>
      <c r="K166" s="5" t="str">
        <f aca="false">IF(E166="","",E166-J166)</f>
        <v/>
      </c>
      <c r="L166" s="6" t="str">
        <f aca="false">IF(A166="","",DATE(YEAR(A166),MONTH(A166),1))</f>
        <v/>
      </c>
      <c r="M166" s="3"/>
    </row>
    <row r="167" customFormat="false" ht="15" hidden="false" customHeight="false" outlineLevel="0" collapsed="false">
      <c r="A167" s="2"/>
      <c r="B167" s="3"/>
      <c r="C167" s="3"/>
      <c r="D167" s="3"/>
      <c r="E167" s="4"/>
      <c r="F167" s="4"/>
      <c r="G167" s="4"/>
      <c r="H167" s="5" t="str">
        <f aca="false">IF(E167="","",ROUND(E167*Réglages!$B$3,2))</f>
        <v/>
      </c>
      <c r="I167" s="5" t="str">
        <f aca="false">IF(E167="","",ROUND(E167*Réglages!$B$4,2))</f>
        <v/>
      </c>
      <c r="J167" s="5" t="str">
        <f aca="false">IF(E167="","",F167+G167+H167+I167)</f>
        <v/>
      </c>
      <c r="K167" s="5" t="str">
        <f aca="false">IF(E167="","",E167-J167)</f>
        <v/>
      </c>
      <c r="L167" s="6" t="str">
        <f aca="false">IF(A167="","",DATE(YEAR(A167),MONTH(A167),1))</f>
        <v/>
      </c>
      <c r="M167" s="3"/>
    </row>
    <row r="168" customFormat="false" ht="15" hidden="false" customHeight="false" outlineLevel="0" collapsed="false">
      <c r="A168" s="2"/>
      <c r="B168" s="3"/>
      <c r="C168" s="3"/>
      <c r="D168" s="3"/>
      <c r="E168" s="4"/>
      <c r="F168" s="4"/>
      <c r="G168" s="4"/>
      <c r="H168" s="5" t="str">
        <f aca="false">IF(E168="","",ROUND(E168*Réglages!$B$3,2))</f>
        <v/>
      </c>
      <c r="I168" s="5" t="str">
        <f aca="false">IF(E168="","",ROUND(E168*Réglages!$B$4,2))</f>
        <v/>
      </c>
      <c r="J168" s="5" t="str">
        <f aca="false">IF(E168="","",F168+G168+H168+I168)</f>
        <v/>
      </c>
      <c r="K168" s="5" t="str">
        <f aca="false">IF(E168="","",E168-J168)</f>
        <v/>
      </c>
      <c r="L168" s="6" t="str">
        <f aca="false">IF(A168="","",DATE(YEAR(A168),MONTH(A168),1))</f>
        <v/>
      </c>
      <c r="M168" s="3"/>
    </row>
    <row r="169" customFormat="false" ht="15" hidden="false" customHeight="false" outlineLevel="0" collapsed="false">
      <c r="A169" s="2"/>
      <c r="B169" s="3"/>
      <c r="C169" s="3"/>
      <c r="D169" s="3"/>
      <c r="E169" s="4"/>
      <c r="F169" s="4"/>
      <c r="G169" s="4"/>
      <c r="H169" s="5" t="str">
        <f aca="false">IF(E169="","",ROUND(E169*Réglages!$B$3,2))</f>
        <v/>
      </c>
      <c r="I169" s="5" t="str">
        <f aca="false">IF(E169="","",ROUND(E169*Réglages!$B$4,2))</f>
        <v/>
      </c>
      <c r="J169" s="5" t="str">
        <f aca="false">IF(E169="","",F169+G169+H169+I169)</f>
        <v/>
      </c>
      <c r="K169" s="5" t="str">
        <f aca="false">IF(E169="","",E169-J169)</f>
        <v/>
      </c>
      <c r="L169" s="6" t="str">
        <f aca="false">IF(A169="","",DATE(YEAR(A169),MONTH(A169),1))</f>
        <v/>
      </c>
      <c r="M169" s="3"/>
    </row>
    <row r="170" customFormat="false" ht="15" hidden="false" customHeight="false" outlineLevel="0" collapsed="false">
      <c r="A170" s="2"/>
      <c r="B170" s="3"/>
      <c r="C170" s="3"/>
      <c r="D170" s="3"/>
      <c r="E170" s="4"/>
      <c r="F170" s="4"/>
      <c r="G170" s="4"/>
      <c r="H170" s="5" t="str">
        <f aca="false">IF(E170="","",ROUND(E170*Réglages!$B$3,2))</f>
        <v/>
      </c>
      <c r="I170" s="5" t="str">
        <f aca="false">IF(E170="","",ROUND(E170*Réglages!$B$4,2))</f>
        <v/>
      </c>
      <c r="J170" s="5" t="str">
        <f aca="false">IF(E170="","",F170+G170+H170+I170)</f>
        <v/>
      </c>
      <c r="K170" s="5" t="str">
        <f aca="false">IF(E170="","",E170-J170)</f>
        <v/>
      </c>
      <c r="L170" s="6" t="str">
        <f aca="false">IF(A170="","",DATE(YEAR(A170),MONTH(A170),1))</f>
        <v/>
      </c>
      <c r="M170" s="3"/>
    </row>
    <row r="171" customFormat="false" ht="15" hidden="false" customHeight="false" outlineLevel="0" collapsed="false">
      <c r="A171" s="2"/>
      <c r="B171" s="3"/>
      <c r="C171" s="3"/>
      <c r="D171" s="3"/>
      <c r="E171" s="4"/>
      <c r="F171" s="4"/>
      <c r="G171" s="4"/>
      <c r="H171" s="5" t="str">
        <f aca="false">IF(E171="","",ROUND(E171*Réglages!$B$3,2))</f>
        <v/>
      </c>
      <c r="I171" s="5" t="str">
        <f aca="false">IF(E171="","",ROUND(E171*Réglages!$B$4,2))</f>
        <v/>
      </c>
      <c r="J171" s="5" t="str">
        <f aca="false">IF(E171="","",F171+G171+H171+I171)</f>
        <v/>
      </c>
      <c r="K171" s="5" t="str">
        <f aca="false">IF(E171="","",E171-J171)</f>
        <v/>
      </c>
      <c r="L171" s="6" t="str">
        <f aca="false">IF(A171="","",DATE(YEAR(A171),MONTH(A171),1))</f>
        <v/>
      </c>
      <c r="M171" s="3"/>
    </row>
    <row r="172" customFormat="false" ht="15" hidden="false" customHeight="false" outlineLevel="0" collapsed="false">
      <c r="A172" s="2"/>
      <c r="B172" s="3"/>
      <c r="C172" s="3"/>
      <c r="D172" s="3"/>
      <c r="E172" s="4"/>
      <c r="F172" s="4"/>
      <c r="G172" s="4"/>
      <c r="H172" s="5" t="str">
        <f aca="false">IF(E172="","",ROUND(E172*Réglages!$B$3,2))</f>
        <v/>
      </c>
      <c r="I172" s="5" t="str">
        <f aca="false">IF(E172="","",ROUND(E172*Réglages!$B$4,2))</f>
        <v/>
      </c>
      <c r="J172" s="5" t="str">
        <f aca="false">IF(E172="","",F172+G172+H172+I172)</f>
        <v/>
      </c>
      <c r="K172" s="5" t="str">
        <f aca="false">IF(E172="","",E172-J172)</f>
        <v/>
      </c>
      <c r="L172" s="6" t="str">
        <f aca="false">IF(A172="","",DATE(YEAR(A172),MONTH(A172),1))</f>
        <v/>
      </c>
      <c r="M172" s="3"/>
    </row>
    <row r="173" customFormat="false" ht="15" hidden="false" customHeight="false" outlineLevel="0" collapsed="false">
      <c r="A173" s="2"/>
      <c r="B173" s="3"/>
      <c r="C173" s="3"/>
      <c r="D173" s="3"/>
      <c r="E173" s="4"/>
      <c r="F173" s="4"/>
      <c r="G173" s="4"/>
      <c r="H173" s="5" t="str">
        <f aca="false">IF(E173="","",ROUND(E173*Réglages!$B$3,2))</f>
        <v/>
      </c>
      <c r="I173" s="5" t="str">
        <f aca="false">IF(E173="","",ROUND(E173*Réglages!$B$4,2))</f>
        <v/>
      </c>
      <c r="J173" s="5" t="str">
        <f aca="false">IF(E173="","",F173+G173+H173+I173)</f>
        <v/>
      </c>
      <c r="K173" s="5" t="str">
        <f aca="false">IF(E173="","",E173-J173)</f>
        <v/>
      </c>
      <c r="L173" s="6" t="str">
        <f aca="false">IF(A173="","",DATE(YEAR(A173),MONTH(A173),1))</f>
        <v/>
      </c>
      <c r="M173" s="3"/>
    </row>
    <row r="174" customFormat="false" ht="15" hidden="false" customHeight="false" outlineLevel="0" collapsed="false">
      <c r="A174" s="2"/>
      <c r="B174" s="3"/>
      <c r="C174" s="3"/>
      <c r="D174" s="3"/>
      <c r="E174" s="4"/>
      <c r="F174" s="4"/>
      <c r="G174" s="4"/>
      <c r="H174" s="5" t="str">
        <f aca="false">IF(E174="","",ROUND(E174*Réglages!$B$3,2))</f>
        <v/>
      </c>
      <c r="I174" s="5" t="str">
        <f aca="false">IF(E174="","",ROUND(E174*Réglages!$B$4,2))</f>
        <v/>
      </c>
      <c r="J174" s="5" t="str">
        <f aca="false">IF(E174="","",F174+G174+H174+I174)</f>
        <v/>
      </c>
      <c r="K174" s="5" t="str">
        <f aca="false">IF(E174="","",E174-J174)</f>
        <v/>
      </c>
      <c r="L174" s="6" t="str">
        <f aca="false">IF(A174="","",DATE(YEAR(A174),MONTH(A174),1))</f>
        <v/>
      </c>
      <c r="M174" s="3"/>
    </row>
    <row r="175" customFormat="false" ht="15" hidden="false" customHeight="false" outlineLevel="0" collapsed="false">
      <c r="A175" s="2"/>
      <c r="B175" s="3"/>
      <c r="C175" s="3"/>
      <c r="D175" s="3"/>
      <c r="E175" s="4"/>
      <c r="F175" s="4"/>
      <c r="G175" s="4"/>
      <c r="H175" s="5" t="str">
        <f aca="false">IF(E175="","",ROUND(E175*Réglages!$B$3,2))</f>
        <v/>
      </c>
      <c r="I175" s="5" t="str">
        <f aca="false">IF(E175="","",ROUND(E175*Réglages!$B$4,2))</f>
        <v/>
      </c>
      <c r="J175" s="5" t="str">
        <f aca="false">IF(E175="","",F175+G175+H175+I175)</f>
        <v/>
      </c>
      <c r="K175" s="5" t="str">
        <f aca="false">IF(E175="","",E175-J175)</f>
        <v/>
      </c>
      <c r="L175" s="6" t="str">
        <f aca="false">IF(A175="","",DATE(YEAR(A175),MONTH(A175),1))</f>
        <v/>
      </c>
      <c r="M175" s="3"/>
    </row>
    <row r="176" customFormat="false" ht="15" hidden="false" customHeight="false" outlineLevel="0" collapsed="false">
      <c r="A176" s="2"/>
      <c r="B176" s="3"/>
      <c r="C176" s="3"/>
      <c r="D176" s="3"/>
      <c r="E176" s="4"/>
      <c r="F176" s="4"/>
      <c r="G176" s="4"/>
      <c r="H176" s="5" t="str">
        <f aca="false">IF(E176="","",ROUND(E176*Réglages!$B$3,2))</f>
        <v/>
      </c>
      <c r="I176" s="5" t="str">
        <f aca="false">IF(E176="","",ROUND(E176*Réglages!$B$4,2))</f>
        <v/>
      </c>
      <c r="J176" s="5" t="str">
        <f aca="false">IF(E176="","",F176+G176+H176+I176)</f>
        <v/>
      </c>
      <c r="K176" s="5" t="str">
        <f aca="false">IF(E176="","",E176-J176)</f>
        <v/>
      </c>
      <c r="L176" s="6" t="str">
        <f aca="false">IF(A176="","",DATE(YEAR(A176),MONTH(A176),1))</f>
        <v/>
      </c>
      <c r="M176" s="3"/>
    </row>
    <row r="177" customFormat="false" ht="15" hidden="false" customHeight="false" outlineLevel="0" collapsed="false">
      <c r="A177" s="2"/>
      <c r="B177" s="3"/>
      <c r="C177" s="3"/>
      <c r="D177" s="3"/>
      <c r="E177" s="4"/>
      <c r="F177" s="4"/>
      <c r="G177" s="4"/>
      <c r="H177" s="5" t="str">
        <f aca="false">IF(E177="","",ROUND(E177*Réglages!$B$3,2))</f>
        <v/>
      </c>
      <c r="I177" s="5" t="str">
        <f aca="false">IF(E177="","",ROUND(E177*Réglages!$B$4,2))</f>
        <v/>
      </c>
      <c r="J177" s="5" t="str">
        <f aca="false">IF(E177="","",F177+G177+H177+I177)</f>
        <v/>
      </c>
      <c r="K177" s="5" t="str">
        <f aca="false">IF(E177="","",E177-J177)</f>
        <v/>
      </c>
      <c r="L177" s="6" t="str">
        <f aca="false">IF(A177="","",DATE(YEAR(A177),MONTH(A177),1))</f>
        <v/>
      </c>
      <c r="M177" s="3"/>
    </row>
    <row r="178" customFormat="false" ht="15" hidden="false" customHeight="false" outlineLevel="0" collapsed="false">
      <c r="A178" s="2"/>
      <c r="B178" s="3"/>
      <c r="C178" s="3"/>
      <c r="D178" s="3"/>
      <c r="E178" s="4"/>
      <c r="F178" s="4"/>
      <c r="G178" s="4"/>
      <c r="H178" s="5" t="str">
        <f aca="false">IF(E178="","",ROUND(E178*Réglages!$B$3,2))</f>
        <v/>
      </c>
      <c r="I178" s="5" t="str">
        <f aca="false">IF(E178="","",ROUND(E178*Réglages!$B$4,2))</f>
        <v/>
      </c>
      <c r="J178" s="5" t="str">
        <f aca="false">IF(E178="","",F178+G178+H178+I178)</f>
        <v/>
      </c>
      <c r="K178" s="5" t="str">
        <f aca="false">IF(E178="","",E178-J178)</f>
        <v/>
      </c>
      <c r="L178" s="6" t="str">
        <f aca="false">IF(A178="","",DATE(YEAR(A178),MONTH(A178),1))</f>
        <v/>
      </c>
      <c r="M178" s="3"/>
    </row>
    <row r="179" customFormat="false" ht="15" hidden="false" customHeight="false" outlineLevel="0" collapsed="false">
      <c r="A179" s="2"/>
      <c r="B179" s="3"/>
      <c r="C179" s="3"/>
      <c r="D179" s="3"/>
      <c r="E179" s="4"/>
      <c r="F179" s="4"/>
      <c r="G179" s="4"/>
      <c r="H179" s="5" t="str">
        <f aca="false">IF(E179="","",ROUND(E179*Réglages!$B$3,2))</f>
        <v/>
      </c>
      <c r="I179" s="5" t="str">
        <f aca="false">IF(E179="","",ROUND(E179*Réglages!$B$4,2))</f>
        <v/>
      </c>
      <c r="J179" s="5" t="str">
        <f aca="false">IF(E179="","",F179+G179+H179+I179)</f>
        <v/>
      </c>
      <c r="K179" s="5" t="str">
        <f aca="false">IF(E179="","",E179-J179)</f>
        <v/>
      </c>
      <c r="L179" s="6" t="str">
        <f aca="false">IF(A179="","",DATE(YEAR(A179),MONTH(A179),1))</f>
        <v/>
      </c>
      <c r="M179" s="3"/>
    </row>
    <row r="180" customFormat="false" ht="15" hidden="false" customHeight="false" outlineLevel="0" collapsed="false">
      <c r="A180" s="2"/>
      <c r="B180" s="3"/>
      <c r="C180" s="3"/>
      <c r="D180" s="3"/>
      <c r="E180" s="4"/>
      <c r="F180" s="4"/>
      <c r="G180" s="4"/>
      <c r="H180" s="5" t="str">
        <f aca="false">IF(E180="","",ROUND(E180*Réglages!$B$3,2))</f>
        <v/>
      </c>
      <c r="I180" s="5" t="str">
        <f aca="false">IF(E180="","",ROUND(E180*Réglages!$B$4,2))</f>
        <v/>
      </c>
      <c r="J180" s="5" t="str">
        <f aca="false">IF(E180="","",F180+G180+H180+I180)</f>
        <v/>
      </c>
      <c r="K180" s="5" t="str">
        <f aca="false">IF(E180="","",E180-J180)</f>
        <v/>
      </c>
      <c r="L180" s="6" t="str">
        <f aca="false">IF(A180="","",DATE(YEAR(A180),MONTH(A180),1))</f>
        <v/>
      </c>
      <c r="M180" s="3"/>
    </row>
    <row r="181" customFormat="false" ht="15" hidden="false" customHeight="false" outlineLevel="0" collapsed="false">
      <c r="A181" s="2"/>
      <c r="B181" s="3"/>
      <c r="C181" s="3"/>
      <c r="D181" s="3"/>
      <c r="E181" s="4"/>
      <c r="F181" s="4"/>
      <c r="G181" s="4"/>
      <c r="H181" s="5" t="str">
        <f aca="false">IF(E181="","",ROUND(E181*Réglages!$B$3,2))</f>
        <v/>
      </c>
      <c r="I181" s="5" t="str">
        <f aca="false">IF(E181="","",ROUND(E181*Réglages!$B$4,2))</f>
        <v/>
      </c>
      <c r="J181" s="5" t="str">
        <f aca="false">IF(E181="","",F181+G181+H181+I181)</f>
        <v/>
      </c>
      <c r="K181" s="5" t="str">
        <f aca="false">IF(E181="","",E181-J181)</f>
        <v/>
      </c>
      <c r="L181" s="6" t="str">
        <f aca="false">IF(A181="","",DATE(YEAR(A181),MONTH(A181),1))</f>
        <v/>
      </c>
      <c r="M181" s="3"/>
    </row>
    <row r="182" customFormat="false" ht="15" hidden="false" customHeight="false" outlineLevel="0" collapsed="false">
      <c r="A182" s="2"/>
      <c r="B182" s="3"/>
      <c r="C182" s="3"/>
      <c r="D182" s="3"/>
      <c r="E182" s="4"/>
      <c r="F182" s="4"/>
      <c r="G182" s="4"/>
      <c r="H182" s="5" t="str">
        <f aca="false">IF(E182="","",ROUND(E182*Réglages!$B$3,2))</f>
        <v/>
      </c>
      <c r="I182" s="5" t="str">
        <f aca="false">IF(E182="","",ROUND(E182*Réglages!$B$4,2))</f>
        <v/>
      </c>
      <c r="J182" s="5" t="str">
        <f aca="false">IF(E182="","",F182+G182+H182+I182)</f>
        <v/>
      </c>
      <c r="K182" s="5" t="str">
        <f aca="false">IF(E182="","",E182-J182)</f>
        <v/>
      </c>
      <c r="L182" s="6" t="str">
        <f aca="false">IF(A182="","",DATE(YEAR(A182),MONTH(A182),1))</f>
        <v/>
      </c>
      <c r="M182" s="3"/>
    </row>
    <row r="183" customFormat="false" ht="15" hidden="false" customHeight="false" outlineLevel="0" collapsed="false">
      <c r="A183" s="2"/>
      <c r="B183" s="3"/>
      <c r="C183" s="3"/>
      <c r="D183" s="3"/>
      <c r="E183" s="4"/>
      <c r="F183" s="4"/>
      <c r="G183" s="4"/>
      <c r="H183" s="5" t="str">
        <f aca="false">IF(E183="","",ROUND(E183*Réglages!$B$3,2))</f>
        <v/>
      </c>
      <c r="I183" s="5" t="str">
        <f aca="false">IF(E183="","",ROUND(E183*Réglages!$B$4,2))</f>
        <v/>
      </c>
      <c r="J183" s="5" t="str">
        <f aca="false">IF(E183="","",F183+G183+H183+I183)</f>
        <v/>
      </c>
      <c r="K183" s="5" t="str">
        <f aca="false">IF(E183="","",E183-J183)</f>
        <v/>
      </c>
      <c r="L183" s="6" t="str">
        <f aca="false">IF(A183="","",DATE(YEAR(A183),MONTH(A183),1))</f>
        <v/>
      </c>
      <c r="M183" s="3"/>
    </row>
    <row r="184" customFormat="false" ht="15" hidden="false" customHeight="false" outlineLevel="0" collapsed="false">
      <c r="A184" s="2"/>
      <c r="B184" s="3"/>
      <c r="C184" s="3"/>
      <c r="D184" s="3"/>
      <c r="E184" s="4"/>
      <c r="F184" s="4"/>
      <c r="G184" s="4"/>
      <c r="H184" s="5" t="str">
        <f aca="false">IF(E184="","",ROUND(E184*Réglages!$B$3,2))</f>
        <v/>
      </c>
      <c r="I184" s="5" t="str">
        <f aca="false">IF(E184="","",ROUND(E184*Réglages!$B$4,2))</f>
        <v/>
      </c>
      <c r="J184" s="5" t="str">
        <f aca="false">IF(E184="","",F184+G184+H184+I184)</f>
        <v/>
      </c>
      <c r="K184" s="5" t="str">
        <f aca="false">IF(E184="","",E184-J184)</f>
        <v/>
      </c>
      <c r="L184" s="6" t="str">
        <f aca="false">IF(A184="","",DATE(YEAR(A184),MONTH(A184),1))</f>
        <v/>
      </c>
      <c r="M184" s="3"/>
    </row>
    <row r="185" customFormat="false" ht="15" hidden="false" customHeight="false" outlineLevel="0" collapsed="false">
      <c r="A185" s="2"/>
      <c r="B185" s="3"/>
      <c r="C185" s="3"/>
      <c r="D185" s="3"/>
      <c r="E185" s="4"/>
      <c r="F185" s="4"/>
      <c r="G185" s="4"/>
      <c r="H185" s="5" t="str">
        <f aca="false">IF(E185="","",ROUND(E185*Réglages!$B$3,2))</f>
        <v/>
      </c>
      <c r="I185" s="5" t="str">
        <f aca="false">IF(E185="","",ROUND(E185*Réglages!$B$4,2))</f>
        <v/>
      </c>
      <c r="J185" s="5" t="str">
        <f aca="false">IF(E185="","",F185+G185+H185+I185)</f>
        <v/>
      </c>
      <c r="K185" s="5" t="str">
        <f aca="false">IF(E185="","",E185-J185)</f>
        <v/>
      </c>
      <c r="L185" s="6" t="str">
        <f aca="false">IF(A185="","",DATE(YEAR(A185),MONTH(A185),1))</f>
        <v/>
      </c>
      <c r="M185" s="3"/>
    </row>
    <row r="186" customFormat="false" ht="15" hidden="false" customHeight="false" outlineLevel="0" collapsed="false">
      <c r="A186" s="2"/>
      <c r="B186" s="3"/>
      <c r="C186" s="3"/>
      <c r="D186" s="3"/>
      <c r="E186" s="4"/>
      <c r="F186" s="4"/>
      <c r="G186" s="4"/>
      <c r="H186" s="5" t="str">
        <f aca="false">IF(E186="","",ROUND(E186*Réglages!$B$3,2))</f>
        <v/>
      </c>
      <c r="I186" s="5" t="str">
        <f aca="false">IF(E186="","",ROUND(E186*Réglages!$B$4,2))</f>
        <v/>
      </c>
      <c r="J186" s="5" t="str">
        <f aca="false">IF(E186="","",F186+G186+H186+I186)</f>
        <v/>
      </c>
      <c r="K186" s="5" t="str">
        <f aca="false">IF(E186="","",E186-J186)</f>
        <v/>
      </c>
      <c r="L186" s="6" t="str">
        <f aca="false">IF(A186="","",DATE(YEAR(A186),MONTH(A186),1))</f>
        <v/>
      </c>
      <c r="M186" s="3"/>
    </row>
    <row r="187" customFormat="false" ht="15" hidden="false" customHeight="false" outlineLevel="0" collapsed="false">
      <c r="A187" s="2"/>
      <c r="B187" s="3"/>
      <c r="C187" s="3"/>
      <c r="D187" s="3"/>
      <c r="E187" s="4"/>
      <c r="F187" s="4"/>
      <c r="G187" s="4"/>
      <c r="H187" s="5" t="str">
        <f aca="false">IF(E187="","",ROUND(E187*Réglages!$B$3,2))</f>
        <v/>
      </c>
      <c r="I187" s="5" t="str">
        <f aca="false">IF(E187="","",ROUND(E187*Réglages!$B$4,2))</f>
        <v/>
      </c>
      <c r="J187" s="5" t="str">
        <f aca="false">IF(E187="","",F187+G187+H187+I187)</f>
        <v/>
      </c>
      <c r="K187" s="5" t="str">
        <f aca="false">IF(E187="","",E187-J187)</f>
        <v/>
      </c>
      <c r="L187" s="6" t="str">
        <f aca="false">IF(A187="","",DATE(YEAR(A187),MONTH(A187),1))</f>
        <v/>
      </c>
      <c r="M187" s="3"/>
    </row>
    <row r="188" customFormat="false" ht="15" hidden="false" customHeight="false" outlineLevel="0" collapsed="false">
      <c r="A188" s="2"/>
      <c r="B188" s="3"/>
      <c r="C188" s="3"/>
      <c r="D188" s="3"/>
      <c r="E188" s="4"/>
      <c r="F188" s="4"/>
      <c r="G188" s="4"/>
      <c r="H188" s="5" t="str">
        <f aca="false">IF(E188="","",ROUND(E188*Réglages!$B$3,2))</f>
        <v/>
      </c>
      <c r="I188" s="5" t="str">
        <f aca="false">IF(E188="","",ROUND(E188*Réglages!$B$4,2))</f>
        <v/>
      </c>
      <c r="J188" s="5" t="str">
        <f aca="false">IF(E188="","",F188+G188+H188+I188)</f>
        <v/>
      </c>
      <c r="K188" s="5" t="str">
        <f aca="false">IF(E188="","",E188-J188)</f>
        <v/>
      </c>
      <c r="L188" s="6" t="str">
        <f aca="false">IF(A188="","",DATE(YEAR(A188),MONTH(A188),1))</f>
        <v/>
      </c>
      <c r="M188" s="3"/>
    </row>
    <row r="189" customFormat="false" ht="15" hidden="false" customHeight="false" outlineLevel="0" collapsed="false">
      <c r="A189" s="2"/>
      <c r="B189" s="3"/>
      <c r="C189" s="3"/>
      <c r="D189" s="3"/>
      <c r="E189" s="4"/>
      <c r="F189" s="4"/>
      <c r="G189" s="4"/>
      <c r="H189" s="5" t="str">
        <f aca="false">IF(E189="","",ROUND(E189*Réglages!$B$3,2))</f>
        <v/>
      </c>
      <c r="I189" s="5" t="str">
        <f aca="false">IF(E189="","",ROUND(E189*Réglages!$B$4,2))</f>
        <v/>
      </c>
      <c r="J189" s="5" t="str">
        <f aca="false">IF(E189="","",F189+G189+H189+I189)</f>
        <v/>
      </c>
      <c r="K189" s="5" t="str">
        <f aca="false">IF(E189="","",E189-J189)</f>
        <v/>
      </c>
      <c r="L189" s="6" t="str">
        <f aca="false">IF(A189="","",DATE(YEAR(A189),MONTH(A189),1))</f>
        <v/>
      </c>
      <c r="M189" s="3"/>
    </row>
    <row r="190" customFormat="false" ht="15" hidden="false" customHeight="false" outlineLevel="0" collapsed="false">
      <c r="A190" s="2"/>
      <c r="B190" s="3"/>
      <c r="C190" s="3"/>
      <c r="D190" s="3"/>
      <c r="E190" s="4"/>
      <c r="F190" s="4"/>
      <c r="G190" s="4"/>
      <c r="H190" s="5" t="str">
        <f aca="false">IF(E190="","",ROUND(E190*Réglages!$B$3,2))</f>
        <v/>
      </c>
      <c r="I190" s="5" t="str">
        <f aca="false">IF(E190="","",ROUND(E190*Réglages!$B$4,2))</f>
        <v/>
      </c>
      <c r="J190" s="5" t="str">
        <f aca="false">IF(E190="","",F190+G190+H190+I190)</f>
        <v/>
      </c>
      <c r="K190" s="5" t="str">
        <f aca="false">IF(E190="","",E190-J190)</f>
        <v/>
      </c>
      <c r="L190" s="6" t="str">
        <f aca="false">IF(A190="","",DATE(YEAR(A190),MONTH(A190),1))</f>
        <v/>
      </c>
      <c r="M190" s="3"/>
    </row>
    <row r="191" customFormat="false" ht="15" hidden="false" customHeight="false" outlineLevel="0" collapsed="false">
      <c r="A191" s="2"/>
      <c r="B191" s="3"/>
      <c r="C191" s="3"/>
      <c r="D191" s="3"/>
      <c r="E191" s="4"/>
      <c r="F191" s="4"/>
      <c r="G191" s="4"/>
      <c r="H191" s="5" t="str">
        <f aca="false">IF(E191="","",ROUND(E191*Réglages!$B$3,2))</f>
        <v/>
      </c>
      <c r="I191" s="5" t="str">
        <f aca="false">IF(E191="","",ROUND(E191*Réglages!$B$4,2))</f>
        <v/>
      </c>
      <c r="J191" s="5" t="str">
        <f aca="false">IF(E191="","",F191+G191+H191+I191)</f>
        <v/>
      </c>
      <c r="K191" s="5" t="str">
        <f aca="false">IF(E191="","",E191-J191)</f>
        <v/>
      </c>
      <c r="L191" s="6" t="str">
        <f aca="false">IF(A191="","",DATE(YEAR(A191),MONTH(A191),1))</f>
        <v/>
      </c>
      <c r="M191" s="3"/>
    </row>
    <row r="192" customFormat="false" ht="15" hidden="false" customHeight="false" outlineLevel="0" collapsed="false">
      <c r="A192" s="2"/>
      <c r="B192" s="3"/>
      <c r="C192" s="3"/>
      <c r="D192" s="3"/>
      <c r="E192" s="4"/>
      <c r="F192" s="4"/>
      <c r="G192" s="4"/>
      <c r="H192" s="5" t="str">
        <f aca="false">IF(E192="","",ROUND(E192*Réglages!$B$3,2))</f>
        <v/>
      </c>
      <c r="I192" s="5" t="str">
        <f aca="false">IF(E192="","",ROUND(E192*Réglages!$B$4,2))</f>
        <v/>
      </c>
      <c r="J192" s="5" t="str">
        <f aca="false">IF(E192="","",F192+G192+H192+I192)</f>
        <v/>
      </c>
      <c r="K192" s="5" t="str">
        <f aca="false">IF(E192="","",E192-J192)</f>
        <v/>
      </c>
      <c r="L192" s="6" t="str">
        <f aca="false">IF(A192="","",DATE(YEAR(A192),MONTH(A192),1))</f>
        <v/>
      </c>
      <c r="M192" s="3"/>
    </row>
    <row r="193" customFormat="false" ht="15" hidden="false" customHeight="false" outlineLevel="0" collapsed="false">
      <c r="A193" s="2"/>
      <c r="B193" s="3"/>
      <c r="C193" s="3"/>
      <c r="D193" s="3"/>
      <c r="E193" s="4"/>
      <c r="F193" s="4"/>
      <c r="G193" s="4"/>
      <c r="H193" s="5" t="str">
        <f aca="false">IF(E193="","",ROUND(E193*Réglages!$B$3,2))</f>
        <v/>
      </c>
      <c r="I193" s="5" t="str">
        <f aca="false">IF(E193="","",ROUND(E193*Réglages!$B$4,2))</f>
        <v/>
      </c>
      <c r="J193" s="5" t="str">
        <f aca="false">IF(E193="","",F193+G193+H193+I193)</f>
        <v/>
      </c>
      <c r="K193" s="5" t="str">
        <f aca="false">IF(E193="","",E193-J193)</f>
        <v/>
      </c>
      <c r="L193" s="6" t="str">
        <f aca="false">IF(A193="","",DATE(YEAR(A193),MONTH(A193),1))</f>
        <v/>
      </c>
      <c r="M193" s="3"/>
    </row>
    <row r="194" customFormat="false" ht="15" hidden="false" customHeight="false" outlineLevel="0" collapsed="false">
      <c r="A194" s="2"/>
      <c r="B194" s="3"/>
      <c r="C194" s="3"/>
      <c r="D194" s="3"/>
      <c r="E194" s="4"/>
      <c r="F194" s="4"/>
      <c r="G194" s="4"/>
      <c r="H194" s="5" t="str">
        <f aca="false">IF(E194="","",ROUND(E194*Réglages!$B$3,2))</f>
        <v/>
      </c>
      <c r="I194" s="5" t="str">
        <f aca="false">IF(E194="","",ROUND(E194*Réglages!$B$4,2))</f>
        <v/>
      </c>
      <c r="J194" s="5" t="str">
        <f aca="false">IF(E194="","",F194+G194+H194+I194)</f>
        <v/>
      </c>
      <c r="K194" s="5" t="str">
        <f aca="false">IF(E194="","",E194-J194)</f>
        <v/>
      </c>
      <c r="L194" s="6" t="str">
        <f aca="false">IF(A194="","",DATE(YEAR(A194),MONTH(A194),1))</f>
        <v/>
      </c>
      <c r="M194" s="3"/>
    </row>
    <row r="195" customFormat="false" ht="15" hidden="false" customHeight="false" outlineLevel="0" collapsed="false">
      <c r="A195" s="2"/>
      <c r="B195" s="3"/>
      <c r="C195" s="3"/>
      <c r="D195" s="3"/>
      <c r="E195" s="4"/>
      <c r="F195" s="4"/>
      <c r="G195" s="4"/>
      <c r="H195" s="5" t="str">
        <f aca="false">IF(E195="","",ROUND(E195*Réglages!$B$3,2))</f>
        <v/>
      </c>
      <c r="I195" s="5" t="str">
        <f aca="false">IF(E195="","",ROUND(E195*Réglages!$B$4,2))</f>
        <v/>
      </c>
      <c r="J195" s="5" t="str">
        <f aca="false">IF(E195="","",F195+G195+H195+I195)</f>
        <v/>
      </c>
      <c r="K195" s="5" t="str">
        <f aca="false">IF(E195="","",E195-J195)</f>
        <v/>
      </c>
      <c r="L195" s="6" t="str">
        <f aca="false">IF(A195="","",DATE(YEAR(A195),MONTH(A195),1))</f>
        <v/>
      </c>
      <c r="M195" s="3"/>
    </row>
    <row r="196" customFormat="false" ht="15" hidden="false" customHeight="false" outlineLevel="0" collapsed="false">
      <c r="A196" s="2"/>
      <c r="B196" s="3"/>
      <c r="C196" s="3"/>
      <c r="D196" s="3"/>
      <c r="E196" s="4"/>
      <c r="F196" s="4"/>
      <c r="G196" s="4"/>
      <c r="H196" s="5" t="str">
        <f aca="false">IF(E196="","",ROUND(E196*Réglages!$B$3,2))</f>
        <v/>
      </c>
      <c r="I196" s="5" t="str">
        <f aca="false">IF(E196="","",ROUND(E196*Réglages!$B$4,2))</f>
        <v/>
      </c>
      <c r="J196" s="5" t="str">
        <f aca="false">IF(E196="","",F196+G196+H196+I196)</f>
        <v/>
      </c>
      <c r="K196" s="5" t="str">
        <f aca="false">IF(E196="","",E196-J196)</f>
        <v/>
      </c>
      <c r="L196" s="6" t="str">
        <f aca="false">IF(A196="","",DATE(YEAR(A196),MONTH(A196),1))</f>
        <v/>
      </c>
      <c r="M196" s="3"/>
    </row>
    <row r="197" customFormat="false" ht="15" hidden="false" customHeight="false" outlineLevel="0" collapsed="false">
      <c r="A197" s="2"/>
      <c r="B197" s="3"/>
      <c r="C197" s="3"/>
      <c r="D197" s="3"/>
      <c r="E197" s="4"/>
      <c r="F197" s="4"/>
      <c r="G197" s="4"/>
      <c r="H197" s="5" t="str">
        <f aca="false">IF(E197="","",ROUND(E197*Réglages!$B$3,2))</f>
        <v/>
      </c>
      <c r="I197" s="5" t="str">
        <f aca="false">IF(E197="","",ROUND(E197*Réglages!$B$4,2))</f>
        <v/>
      </c>
      <c r="J197" s="5" t="str">
        <f aca="false">IF(E197="","",F197+G197+H197+I197)</f>
        <v/>
      </c>
      <c r="K197" s="5" t="str">
        <f aca="false">IF(E197="","",E197-J197)</f>
        <v/>
      </c>
      <c r="L197" s="6" t="str">
        <f aca="false">IF(A197="","",DATE(YEAR(A197),MONTH(A197),1))</f>
        <v/>
      </c>
      <c r="M197" s="3"/>
    </row>
    <row r="198" customFormat="false" ht="15" hidden="false" customHeight="false" outlineLevel="0" collapsed="false">
      <c r="A198" s="2"/>
      <c r="B198" s="3"/>
      <c r="C198" s="3"/>
      <c r="D198" s="3"/>
      <c r="E198" s="4"/>
      <c r="F198" s="4"/>
      <c r="G198" s="4"/>
      <c r="H198" s="5" t="str">
        <f aca="false">IF(E198="","",ROUND(E198*Réglages!$B$3,2))</f>
        <v/>
      </c>
      <c r="I198" s="5" t="str">
        <f aca="false">IF(E198="","",ROUND(E198*Réglages!$B$4,2))</f>
        <v/>
      </c>
      <c r="J198" s="5" t="str">
        <f aca="false">IF(E198="","",F198+G198+H198+I198)</f>
        <v/>
      </c>
      <c r="K198" s="5" t="str">
        <f aca="false">IF(E198="","",E198-J198)</f>
        <v/>
      </c>
      <c r="L198" s="6" t="str">
        <f aca="false">IF(A198="","",DATE(YEAR(A198),MONTH(A198),1))</f>
        <v/>
      </c>
      <c r="M198" s="3"/>
    </row>
    <row r="199" customFormat="false" ht="15" hidden="false" customHeight="false" outlineLevel="0" collapsed="false">
      <c r="A199" s="2"/>
      <c r="B199" s="3"/>
      <c r="C199" s="3"/>
      <c r="D199" s="3"/>
      <c r="E199" s="4"/>
      <c r="F199" s="4"/>
      <c r="G199" s="4"/>
      <c r="H199" s="5" t="str">
        <f aca="false">IF(E199="","",ROUND(E199*Réglages!$B$3,2))</f>
        <v/>
      </c>
      <c r="I199" s="5" t="str">
        <f aca="false">IF(E199="","",ROUND(E199*Réglages!$B$4,2))</f>
        <v/>
      </c>
      <c r="J199" s="5" t="str">
        <f aca="false">IF(E199="","",F199+G199+H199+I199)</f>
        <v/>
      </c>
      <c r="K199" s="5" t="str">
        <f aca="false">IF(E199="","",E199-J199)</f>
        <v/>
      </c>
      <c r="L199" s="6" t="str">
        <f aca="false">IF(A199="","",DATE(YEAR(A199),MONTH(A199),1))</f>
        <v/>
      </c>
      <c r="M199" s="3"/>
    </row>
    <row r="200" customFormat="false" ht="15" hidden="false" customHeight="false" outlineLevel="0" collapsed="false">
      <c r="A200" s="2"/>
      <c r="B200" s="3"/>
      <c r="C200" s="3"/>
      <c r="D200" s="3"/>
      <c r="E200" s="4"/>
      <c r="F200" s="4"/>
      <c r="G200" s="4"/>
      <c r="H200" s="5" t="str">
        <f aca="false">IF(E200="","",ROUND(E200*Réglages!$B$3,2))</f>
        <v/>
      </c>
      <c r="I200" s="5" t="str">
        <f aca="false">IF(E200="","",ROUND(E200*Réglages!$B$4,2))</f>
        <v/>
      </c>
      <c r="J200" s="5" t="str">
        <f aca="false">IF(E200="","",F200+G200+H200+I200)</f>
        <v/>
      </c>
      <c r="K200" s="5" t="str">
        <f aca="false">IF(E200="","",E200-J200)</f>
        <v/>
      </c>
      <c r="L200" s="6" t="str">
        <f aca="false">IF(A200="","",DATE(YEAR(A200),MONTH(A200),1))</f>
        <v/>
      </c>
      <c r="M200" s="3"/>
    </row>
    <row r="201" customFormat="false" ht="15" hidden="false" customHeight="false" outlineLevel="0" collapsed="false">
      <c r="A201" s="2"/>
      <c r="B201" s="3"/>
      <c r="C201" s="3"/>
      <c r="D201" s="3"/>
      <c r="E201" s="4"/>
      <c r="F201" s="4"/>
      <c r="G201" s="4"/>
      <c r="H201" s="5" t="str">
        <f aca="false">IF(E201="","",ROUND(E201*Réglages!$B$3,2))</f>
        <v/>
      </c>
      <c r="I201" s="5" t="str">
        <f aca="false">IF(E201="","",ROUND(E201*Réglages!$B$4,2))</f>
        <v/>
      </c>
      <c r="J201" s="5" t="str">
        <f aca="false">IF(E201="","",F201+G201+H201+I201)</f>
        <v/>
      </c>
      <c r="K201" s="5" t="str">
        <f aca="false">IF(E201="","",E201-J201)</f>
        <v/>
      </c>
      <c r="L201" s="6" t="str">
        <f aca="false">IF(A201="","",DATE(YEAR(A201),MONTH(A201),1))</f>
        <v/>
      </c>
      <c r="M201" s="3"/>
    </row>
    <row r="202" customFormat="false" ht="15" hidden="false" customHeight="false" outlineLevel="0" collapsed="false">
      <c r="A202" s="2"/>
      <c r="B202" s="3"/>
      <c r="C202" s="3"/>
      <c r="D202" s="3"/>
      <c r="E202" s="4"/>
      <c r="F202" s="4"/>
      <c r="G202" s="4"/>
      <c r="H202" s="5" t="str">
        <f aca="false">IF(E202="","",ROUND(E202*Réglages!$B$3,2))</f>
        <v/>
      </c>
      <c r="I202" s="5" t="str">
        <f aca="false">IF(E202="","",ROUND(E202*Réglages!$B$4,2))</f>
        <v/>
      </c>
      <c r="J202" s="5" t="str">
        <f aca="false">IF(E202="","",F202+G202+H202+I202)</f>
        <v/>
      </c>
      <c r="K202" s="5" t="str">
        <f aca="false">IF(E202="","",E202-J202)</f>
        <v/>
      </c>
      <c r="L202" s="6" t="str">
        <f aca="false">IF(A202="","",DATE(YEAR(A202),MONTH(A202),1))</f>
        <v/>
      </c>
      <c r="M202" s="3"/>
    </row>
    <row r="203" customFormat="false" ht="15" hidden="false" customHeight="false" outlineLevel="0" collapsed="false">
      <c r="A203" s="2"/>
      <c r="B203" s="3"/>
      <c r="C203" s="3"/>
      <c r="D203" s="3"/>
      <c r="E203" s="4"/>
      <c r="F203" s="4"/>
      <c r="G203" s="4"/>
      <c r="H203" s="5" t="str">
        <f aca="false">IF(E203="","",ROUND(E203*Réglages!$B$3,2))</f>
        <v/>
      </c>
      <c r="I203" s="5" t="str">
        <f aca="false">IF(E203="","",ROUND(E203*Réglages!$B$4,2))</f>
        <v/>
      </c>
      <c r="J203" s="5" t="str">
        <f aca="false">IF(E203="","",F203+G203+H203+I203)</f>
        <v/>
      </c>
      <c r="K203" s="5" t="str">
        <f aca="false">IF(E203="","",E203-J203)</f>
        <v/>
      </c>
      <c r="L203" s="6" t="str">
        <f aca="false">IF(A203="","",DATE(YEAR(A203),MONTH(A203),1))</f>
        <v/>
      </c>
      <c r="M203" s="3"/>
    </row>
    <row r="204" customFormat="false" ht="15" hidden="false" customHeight="false" outlineLevel="0" collapsed="false">
      <c r="A204" s="2"/>
      <c r="B204" s="3"/>
      <c r="C204" s="3"/>
      <c r="D204" s="3"/>
      <c r="E204" s="4"/>
      <c r="F204" s="4"/>
      <c r="G204" s="4"/>
      <c r="H204" s="5" t="str">
        <f aca="false">IF(E204="","",ROUND(E204*Réglages!$B$3,2))</f>
        <v/>
      </c>
      <c r="I204" s="5" t="str">
        <f aca="false">IF(E204="","",ROUND(E204*Réglages!$B$4,2))</f>
        <v/>
      </c>
      <c r="J204" s="5" t="str">
        <f aca="false">IF(E204="","",F204+G204+H204+I204)</f>
        <v/>
      </c>
      <c r="K204" s="5" t="str">
        <f aca="false">IF(E204="","",E204-J204)</f>
        <v/>
      </c>
      <c r="L204" s="6" t="str">
        <f aca="false">IF(A204="","",DATE(YEAR(A204),MONTH(A204),1))</f>
        <v/>
      </c>
      <c r="M204" s="3"/>
    </row>
    <row r="205" customFormat="false" ht="15" hidden="false" customHeight="false" outlineLevel="0" collapsed="false">
      <c r="A205" s="2"/>
      <c r="B205" s="3"/>
      <c r="C205" s="3"/>
      <c r="D205" s="3"/>
      <c r="E205" s="4"/>
      <c r="F205" s="4"/>
      <c r="G205" s="4"/>
      <c r="H205" s="5" t="str">
        <f aca="false">IF(E205="","",ROUND(E205*Réglages!$B$3,2))</f>
        <v/>
      </c>
      <c r="I205" s="5" t="str">
        <f aca="false">IF(E205="","",ROUND(E205*Réglages!$B$4,2))</f>
        <v/>
      </c>
      <c r="J205" s="5" t="str">
        <f aca="false">IF(E205="","",F205+G205+H205+I205)</f>
        <v/>
      </c>
      <c r="K205" s="5" t="str">
        <f aca="false">IF(E205="","",E205-J205)</f>
        <v/>
      </c>
      <c r="L205" s="6" t="str">
        <f aca="false">IF(A205="","",DATE(YEAR(A205),MONTH(A205),1))</f>
        <v/>
      </c>
      <c r="M205" s="3"/>
    </row>
    <row r="206" customFormat="false" ht="15" hidden="false" customHeight="false" outlineLevel="0" collapsed="false">
      <c r="A206" s="2"/>
      <c r="B206" s="3"/>
      <c r="C206" s="3"/>
      <c r="D206" s="3"/>
      <c r="E206" s="4"/>
      <c r="F206" s="4"/>
      <c r="G206" s="4"/>
      <c r="H206" s="5" t="str">
        <f aca="false">IF(E206="","",ROUND(E206*Réglages!$B$3,2))</f>
        <v/>
      </c>
      <c r="I206" s="5" t="str">
        <f aca="false">IF(E206="","",ROUND(E206*Réglages!$B$4,2))</f>
        <v/>
      </c>
      <c r="J206" s="5" t="str">
        <f aca="false">IF(E206="","",F206+G206+H206+I206)</f>
        <v/>
      </c>
      <c r="K206" s="5" t="str">
        <f aca="false">IF(E206="","",E206-J206)</f>
        <v/>
      </c>
      <c r="L206" s="6" t="str">
        <f aca="false">IF(A206="","",DATE(YEAR(A206),MONTH(A206),1))</f>
        <v/>
      </c>
      <c r="M206" s="3"/>
    </row>
    <row r="207" customFormat="false" ht="15" hidden="false" customHeight="false" outlineLevel="0" collapsed="false">
      <c r="A207" s="2"/>
      <c r="B207" s="3"/>
      <c r="C207" s="3"/>
      <c r="D207" s="3"/>
      <c r="E207" s="4"/>
      <c r="F207" s="4"/>
      <c r="G207" s="4"/>
      <c r="H207" s="5" t="str">
        <f aca="false">IF(E207="","",ROUND(E207*Réglages!$B$3,2))</f>
        <v/>
      </c>
      <c r="I207" s="5" t="str">
        <f aca="false">IF(E207="","",ROUND(E207*Réglages!$B$4,2))</f>
        <v/>
      </c>
      <c r="J207" s="5" t="str">
        <f aca="false">IF(E207="","",F207+G207+H207+I207)</f>
        <v/>
      </c>
      <c r="K207" s="5" t="str">
        <f aca="false">IF(E207="","",E207-J207)</f>
        <v/>
      </c>
      <c r="L207" s="6" t="str">
        <f aca="false">IF(A207="","",DATE(YEAR(A207),MONTH(A207),1))</f>
        <v/>
      </c>
      <c r="M207" s="3"/>
    </row>
    <row r="208" customFormat="false" ht="15" hidden="false" customHeight="false" outlineLevel="0" collapsed="false">
      <c r="A208" s="2"/>
      <c r="B208" s="3"/>
      <c r="C208" s="3"/>
      <c r="D208" s="3"/>
      <c r="E208" s="4"/>
      <c r="F208" s="4"/>
      <c r="G208" s="4"/>
      <c r="H208" s="5" t="str">
        <f aca="false">IF(E208="","",ROUND(E208*Réglages!$B$3,2))</f>
        <v/>
      </c>
      <c r="I208" s="5" t="str">
        <f aca="false">IF(E208="","",ROUND(E208*Réglages!$B$4,2))</f>
        <v/>
      </c>
      <c r="J208" s="5" t="str">
        <f aca="false">IF(E208="","",F208+G208+H208+I208)</f>
        <v/>
      </c>
      <c r="K208" s="5" t="str">
        <f aca="false">IF(E208="","",E208-J208)</f>
        <v/>
      </c>
      <c r="L208" s="6" t="str">
        <f aca="false">IF(A208="","",DATE(YEAR(A208),MONTH(A208),1))</f>
        <v/>
      </c>
      <c r="M208" s="3"/>
    </row>
    <row r="209" customFormat="false" ht="15" hidden="false" customHeight="false" outlineLevel="0" collapsed="false">
      <c r="A209" s="2"/>
      <c r="B209" s="3"/>
      <c r="C209" s="3"/>
      <c r="D209" s="3"/>
      <c r="E209" s="4"/>
      <c r="F209" s="4"/>
      <c r="G209" s="4"/>
      <c r="H209" s="5" t="str">
        <f aca="false">IF(E209="","",ROUND(E209*Réglages!$B$3,2))</f>
        <v/>
      </c>
      <c r="I209" s="5" t="str">
        <f aca="false">IF(E209="","",ROUND(E209*Réglages!$B$4,2))</f>
        <v/>
      </c>
      <c r="J209" s="5" t="str">
        <f aca="false">IF(E209="","",F209+G209+H209+I209)</f>
        <v/>
      </c>
      <c r="K209" s="5" t="str">
        <f aca="false">IF(E209="","",E209-J209)</f>
        <v/>
      </c>
      <c r="L209" s="6" t="str">
        <f aca="false">IF(A209="","",DATE(YEAR(A209),MONTH(A209),1))</f>
        <v/>
      </c>
      <c r="M209" s="3"/>
    </row>
    <row r="210" customFormat="false" ht="15" hidden="false" customHeight="false" outlineLevel="0" collapsed="false">
      <c r="A210" s="2"/>
      <c r="B210" s="3"/>
      <c r="C210" s="3"/>
      <c r="D210" s="3"/>
      <c r="E210" s="4"/>
      <c r="F210" s="4"/>
      <c r="G210" s="4"/>
      <c r="H210" s="5" t="str">
        <f aca="false">IF(E210="","",ROUND(E210*Réglages!$B$3,2))</f>
        <v/>
      </c>
      <c r="I210" s="5" t="str">
        <f aca="false">IF(E210="","",ROUND(E210*Réglages!$B$4,2))</f>
        <v/>
      </c>
      <c r="J210" s="5" t="str">
        <f aca="false">IF(E210="","",F210+G210+H210+I210)</f>
        <v/>
      </c>
      <c r="K210" s="5" t="str">
        <f aca="false">IF(E210="","",E210-J210)</f>
        <v/>
      </c>
      <c r="L210" s="6" t="str">
        <f aca="false">IF(A210="","",DATE(YEAR(A210),MONTH(A210),1))</f>
        <v/>
      </c>
      <c r="M210" s="3"/>
    </row>
    <row r="211" customFormat="false" ht="15" hidden="false" customHeight="false" outlineLevel="0" collapsed="false">
      <c r="A211" s="2"/>
      <c r="B211" s="3"/>
      <c r="C211" s="3"/>
      <c r="D211" s="3"/>
      <c r="E211" s="4"/>
      <c r="F211" s="4"/>
      <c r="G211" s="4"/>
      <c r="H211" s="5" t="str">
        <f aca="false">IF(E211="","",ROUND(E211*Réglages!$B$3,2))</f>
        <v/>
      </c>
      <c r="I211" s="5" t="str">
        <f aca="false">IF(E211="","",ROUND(E211*Réglages!$B$4,2))</f>
        <v/>
      </c>
      <c r="J211" s="5" t="str">
        <f aca="false">IF(E211="","",F211+G211+H211+I211)</f>
        <v/>
      </c>
      <c r="K211" s="5" t="str">
        <f aca="false">IF(E211="","",E211-J211)</f>
        <v/>
      </c>
      <c r="L211" s="6" t="str">
        <f aca="false">IF(A211="","",DATE(YEAR(A211),MONTH(A211),1))</f>
        <v/>
      </c>
      <c r="M211" s="3"/>
    </row>
    <row r="212" customFormat="false" ht="15" hidden="false" customHeight="false" outlineLevel="0" collapsed="false">
      <c r="A212" s="2"/>
      <c r="B212" s="3"/>
      <c r="C212" s="3"/>
      <c r="D212" s="3"/>
      <c r="E212" s="4"/>
      <c r="F212" s="4"/>
      <c r="G212" s="4"/>
      <c r="H212" s="5" t="str">
        <f aca="false">IF(E212="","",ROUND(E212*Réglages!$B$3,2))</f>
        <v/>
      </c>
      <c r="I212" s="5" t="str">
        <f aca="false">IF(E212="","",ROUND(E212*Réglages!$B$4,2))</f>
        <v/>
      </c>
      <c r="J212" s="5" t="str">
        <f aca="false">IF(E212="","",F212+G212+H212+I212)</f>
        <v/>
      </c>
      <c r="K212" s="5" t="str">
        <f aca="false">IF(E212="","",E212-J212)</f>
        <v/>
      </c>
      <c r="L212" s="6" t="str">
        <f aca="false">IF(A212="","",DATE(YEAR(A212),MONTH(A212),1))</f>
        <v/>
      </c>
      <c r="M212" s="3"/>
    </row>
    <row r="213" customFormat="false" ht="15" hidden="false" customHeight="false" outlineLevel="0" collapsed="false">
      <c r="A213" s="2"/>
      <c r="B213" s="3"/>
      <c r="C213" s="3"/>
      <c r="D213" s="3"/>
      <c r="E213" s="4"/>
      <c r="F213" s="4"/>
      <c r="G213" s="4"/>
      <c r="H213" s="5" t="str">
        <f aca="false">IF(E213="","",ROUND(E213*Réglages!$B$3,2))</f>
        <v/>
      </c>
      <c r="I213" s="5" t="str">
        <f aca="false">IF(E213="","",ROUND(E213*Réglages!$B$4,2))</f>
        <v/>
      </c>
      <c r="J213" s="5" t="str">
        <f aca="false">IF(E213="","",F213+G213+H213+I213)</f>
        <v/>
      </c>
      <c r="K213" s="5" t="str">
        <f aca="false">IF(E213="","",E213-J213)</f>
        <v/>
      </c>
      <c r="L213" s="6" t="str">
        <f aca="false">IF(A213="","",DATE(YEAR(A213),MONTH(A213),1))</f>
        <v/>
      </c>
      <c r="M213" s="3"/>
    </row>
    <row r="214" customFormat="false" ht="15" hidden="false" customHeight="false" outlineLevel="0" collapsed="false">
      <c r="A214" s="2"/>
      <c r="B214" s="3"/>
      <c r="C214" s="3"/>
      <c r="D214" s="3"/>
      <c r="E214" s="4"/>
      <c r="F214" s="4"/>
      <c r="G214" s="4"/>
      <c r="H214" s="5" t="str">
        <f aca="false">IF(E214="","",ROUND(E214*Réglages!$B$3,2))</f>
        <v/>
      </c>
      <c r="I214" s="5" t="str">
        <f aca="false">IF(E214="","",ROUND(E214*Réglages!$B$4,2))</f>
        <v/>
      </c>
      <c r="J214" s="5" t="str">
        <f aca="false">IF(E214="","",F214+G214+H214+I214)</f>
        <v/>
      </c>
      <c r="K214" s="5" t="str">
        <f aca="false">IF(E214="","",E214-J214)</f>
        <v/>
      </c>
      <c r="L214" s="6" t="str">
        <f aca="false">IF(A214="","",DATE(YEAR(A214),MONTH(A214),1))</f>
        <v/>
      </c>
      <c r="M214" s="3"/>
    </row>
    <row r="215" customFormat="false" ht="15" hidden="false" customHeight="false" outlineLevel="0" collapsed="false">
      <c r="A215" s="2"/>
      <c r="B215" s="3"/>
      <c r="C215" s="3"/>
      <c r="D215" s="3"/>
      <c r="E215" s="4"/>
      <c r="F215" s="4"/>
      <c r="G215" s="4"/>
      <c r="H215" s="5" t="str">
        <f aca="false">IF(E215="","",ROUND(E215*Réglages!$B$3,2))</f>
        <v/>
      </c>
      <c r="I215" s="5" t="str">
        <f aca="false">IF(E215="","",ROUND(E215*Réglages!$B$4,2))</f>
        <v/>
      </c>
      <c r="J215" s="5" t="str">
        <f aca="false">IF(E215="","",F215+G215+H215+I215)</f>
        <v/>
      </c>
      <c r="K215" s="5" t="str">
        <f aca="false">IF(E215="","",E215-J215)</f>
        <v/>
      </c>
      <c r="L215" s="6" t="str">
        <f aca="false">IF(A215="","",DATE(YEAR(A215),MONTH(A215),1))</f>
        <v/>
      </c>
      <c r="M215" s="3"/>
    </row>
    <row r="216" customFormat="false" ht="15" hidden="false" customHeight="false" outlineLevel="0" collapsed="false">
      <c r="A216" s="2"/>
      <c r="B216" s="3"/>
      <c r="C216" s="3"/>
      <c r="D216" s="3"/>
      <c r="E216" s="4"/>
      <c r="F216" s="4"/>
      <c r="G216" s="4"/>
      <c r="H216" s="5" t="str">
        <f aca="false">IF(E216="","",ROUND(E216*Réglages!$B$3,2))</f>
        <v/>
      </c>
      <c r="I216" s="5" t="str">
        <f aca="false">IF(E216="","",ROUND(E216*Réglages!$B$4,2))</f>
        <v/>
      </c>
      <c r="J216" s="5" t="str">
        <f aca="false">IF(E216="","",F216+G216+H216+I216)</f>
        <v/>
      </c>
      <c r="K216" s="5" t="str">
        <f aca="false">IF(E216="","",E216-J216)</f>
        <v/>
      </c>
      <c r="L216" s="6" t="str">
        <f aca="false">IF(A216="","",DATE(YEAR(A216),MONTH(A216),1))</f>
        <v/>
      </c>
      <c r="M216" s="3"/>
    </row>
    <row r="217" customFormat="false" ht="15" hidden="false" customHeight="false" outlineLevel="0" collapsed="false">
      <c r="A217" s="2"/>
      <c r="B217" s="3"/>
      <c r="C217" s="3"/>
      <c r="D217" s="3"/>
      <c r="E217" s="4"/>
      <c r="F217" s="4"/>
      <c r="G217" s="4"/>
      <c r="H217" s="5" t="str">
        <f aca="false">IF(E217="","",ROUND(E217*Réglages!$B$3,2))</f>
        <v/>
      </c>
      <c r="I217" s="5" t="str">
        <f aca="false">IF(E217="","",ROUND(E217*Réglages!$B$4,2))</f>
        <v/>
      </c>
      <c r="J217" s="5" t="str">
        <f aca="false">IF(E217="","",F217+G217+H217+I217)</f>
        <v/>
      </c>
      <c r="K217" s="5" t="str">
        <f aca="false">IF(E217="","",E217-J217)</f>
        <v/>
      </c>
      <c r="L217" s="6" t="str">
        <f aca="false">IF(A217="","",DATE(YEAR(A217),MONTH(A217),1))</f>
        <v/>
      </c>
      <c r="M217" s="3"/>
    </row>
    <row r="218" customFormat="false" ht="15" hidden="false" customHeight="false" outlineLevel="0" collapsed="false">
      <c r="A218" s="2"/>
      <c r="B218" s="3"/>
      <c r="C218" s="3"/>
      <c r="D218" s="3"/>
      <c r="E218" s="4"/>
      <c r="F218" s="4"/>
      <c r="G218" s="4"/>
      <c r="H218" s="5" t="str">
        <f aca="false">IF(E218="","",ROUND(E218*Réglages!$B$3,2))</f>
        <v/>
      </c>
      <c r="I218" s="5" t="str">
        <f aca="false">IF(E218="","",ROUND(E218*Réglages!$B$4,2))</f>
        <v/>
      </c>
      <c r="J218" s="5" t="str">
        <f aca="false">IF(E218="","",F218+G218+H218+I218)</f>
        <v/>
      </c>
      <c r="K218" s="5" t="str">
        <f aca="false">IF(E218="","",E218-J218)</f>
        <v/>
      </c>
      <c r="L218" s="6" t="str">
        <f aca="false">IF(A218="","",DATE(YEAR(A218),MONTH(A218),1))</f>
        <v/>
      </c>
      <c r="M218" s="3"/>
    </row>
    <row r="219" customFormat="false" ht="15" hidden="false" customHeight="false" outlineLevel="0" collapsed="false">
      <c r="A219" s="2"/>
      <c r="B219" s="3"/>
      <c r="C219" s="3"/>
      <c r="D219" s="3"/>
      <c r="E219" s="4"/>
      <c r="F219" s="4"/>
      <c r="G219" s="4"/>
      <c r="H219" s="5" t="str">
        <f aca="false">IF(E219="","",ROUND(E219*Réglages!$B$3,2))</f>
        <v/>
      </c>
      <c r="I219" s="5" t="str">
        <f aca="false">IF(E219="","",ROUND(E219*Réglages!$B$4,2))</f>
        <v/>
      </c>
      <c r="J219" s="5" t="str">
        <f aca="false">IF(E219="","",F219+G219+H219+I219)</f>
        <v/>
      </c>
      <c r="K219" s="5" t="str">
        <f aca="false">IF(E219="","",E219-J219)</f>
        <v/>
      </c>
      <c r="L219" s="6" t="str">
        <f aca="false">IF(A219="","",DATE(YEAR(A219),MONTH(A219),1))</f>
        <v/>
      </c>
      <c r="M219" s="3"/>
    </row>
    <row r="220" customFormat="false" ht="15" hidden="false" customHeight="false" outlineLevel="0" collapsed="false">
      <c r="A220" s="2"/>
      <c r="B220" s="3"/>
      <c r="C220" s="3"/>
      <c r="D220" s="3"/>
      <c r="E220" s="4"/>
      <c r="F220" s="4"/>
      <c r="G220" s="4"/>
      <c r="H220" s="5" t="str">
        <f aca="false">IF(E220="","",ROUND(E220*Réglages!$B$3,2))</f>
        <v/>
      </c>
      <c r="I220" s="5" t="str">
        <f aca="false">IF(E220="","",ROUND(E220*Réglages!$B$4,2))</f>
        <v/>
      </c>
      <c r="J220" s="5" t="str">
        <f aca="false">IF(E220="","",F220+G220+H220+I220)</f>
        <v/>
      </c>
      <c r="K220" s="5" t="str">
        <f aca="false">IF(E220="","",E220-J220)</f>
        <v/>
      </c>
      <c r="L220" s="6" t="str">
        <f aca="false">IF(A220="","",DATE(YEAR(A220),MONTH(A220),1))</f>
        <v/>
      </c>
      <c r="M220" s="3"/>
    </row>
    <row r="221" customFormat="false" ht="15" hidden="false" customHeight="false" outlineLevel="0" collapsed="false">
      <c r="A221" s="2"/>
      <c r="B221" s="3"/>
      <c r="C221" s="3"/>
      <c r="D221" s="3"/>
      <c r="E221" s="4"/>
      <c r="F221" s="4"/>
      <c r="G221" s="4"/>
      <c r="H221" s="5" t="str">
        <f aca="false">IF(E221="","",ROUND(E221*Réglages!$B$3,2))</f>
        <v/>
      </c>
      <c r="I221" s="5" t="str">
        <f aca="false">IF(E221="","",ROUND(E221*Réglages!$B$4,2))</f>
        <v/>
      </c>
      <c r="J221" s="5" t="str">
        <f aca="false">IF(E221="","",F221+G221+H221+I221)</f>
        <v/>
      </c>
      <c r="K221" s="5" t="str">
        <f aca="false">IF(E221="","",E221-J221)</f>
        <v/>
      </c>
      <c r="L221" s="6" t="str">
        <f aca="false">IF(A221="","",DATE(YEAR(A221),MONTH(A221),1))</f>
        <v/>
      </c>
      <c r="M221" s="3"/>
    </row>
    <row r="222" customFormat="false" ht="15" hidden="false" customHeight="false" outlineLevel="0" collapsed="false">
      <c r="A222" s="2"/>
      <c r="B222" s="3"/>
      <c r="C222" s="3"/>
      <c r="D222" s="3"/>
      <c r="E222" s="4"/>
      <c r="F222" s="4"/>
      <c r="G222" s="4"/>
      <c r="H222" s="5" t="str">
        <f aca="false">IF(E222="","",ROUND(E222*Réglages!$B$3,2))</f>
        <v/>
      </c>
      <c r="I222" s="5" t="str">
        <f aca="false">IF(E222="","",ROUND(E222*Réglages!$B$4,2))</f>
        <v/>
      </c>
      <c r="J222" s="5" t="str">
        <f aca="false">IF(E222="","",F222+G222+H222+I222)</f>
        <v/>
      </c>
      <c r="K222" s="5" t="str">
        <f aca="false">IF(E222="","",E222-J222)</f>
        <v/>
      </c>
      <c r="L222" s="6" t="str">
        <f aca="false">IF(A222="","",DATE(YEAR(A222),MONTH(A222),1))</f>
        <v/>
      </c>
      <c r="M222" s="3"/>
    </row>
    <row r="223" customFormat="false" ht="15" hidden="false" customHeight="false" outlineLevel="0" collapsed="false">
      <c r="A223" s="2"/>
      <c r="B223" s="3"/>
      <c r="C223" s="3"/>
      <c r="D223" s="3"/>
      <c r="E223" s="4"/>
      <c r="F223" s="4"/>
      <c r="G223" s="4"/>
      <c r="H223" s="5" t="str">
        <f aca="false">IF(E223="","",ROUND(E223*Réglages!$B$3,2))</f>
        <v/>
      </c>
      <c r="I223" s="5" t="str">
        <f aca="false">IF(E223="","",ROUND(E223*Réglages!$B$4,2))</f>
        <v/>
      </c>
      <c r="J223" s="5" t="str">
        <f aca="false">IF(E223="","",F223+G223+H223+I223)</f>
        <v/>
      </c>
      <c r="K223" s="5" t="str">
        <f aca="false">IF(E223="","",E223-J223)</f>
        <v/>
      </c>
      <c r="L223" s="6" t="str">
        <f aca="false">IF(A223="","",DATE(YEAR(A223),MONTH(A223),1))</f>
        <v/>
      </c>
      <c r="M223" s="3"/>
    </row>
    <row r="224" customFormat="false" ht="15" hidden="false" customHeight="false" outlineLevel="0" collapsed="false">
      <c r="A224" s="2"/>
      <c r="B224" s="3"/>
      <c r="C224" s="3"/>
      <c r="D224" s="3"/>
      <c r="E224" s="4"/>
      <c r="F224" s="4"/>
      <c r="G224" s="4"/>
      <c r="H224" s="5" t="str">
        <f aca="false">IF(E224="","",ROUND(E224*Réglages!$B$3,2))</f>
        <v/>
      </c>
      <c r="I224" s="5" t="str">
        <f aca="false">IF(E224="","",ROUND(E224*Réglages!$B$4,2))</f>
        <v/>
      </c>
      <c r="J224" s="5" t="str">
        <f aca="false">IF(E224="","",F224+G224+H224+I224)</f>
        <v/>
      </c>
      <c r="K224" s="5" t="str">
        <f aca="false">IF(E224="","",E224-J224)</f>
        <v/>
      </c>
      <c r="L224" s="6" t="str">
        <f aca="false">IF(A224="","",DATE(YEAR(A224),MONTH(A224),1))</f>
        <v/>
      </c>
      <c r="M224" s="3"/>
    </row>
    <row r="225" customFormat="false" ht="15" hidden="false" customHeight="false" outlineLevel="0" collapsed="false">
      <c r="A225" s="2"/>
      <c r="B225" s="3"/>
      <c r="C225" s="3"/>
      <c r="D225" s="3"/>
      <c r="E225" s="4"/>
      <c r="F225" s="4"/>
      <c r="G225" s="4"/>
      <c r="H225" s="5" t="str">
        <f aca="false">IF(E225="","",ROUND(E225*Réglages!$B$3,2))</f>
        <v/>
      </c>
      <c r="I225" s="5" t="str">
        <f aca="false">IF(E225="","",ROUND(E225*Réglages!$B$4,2))</f>
        <v/>
      </c>
      <c r="J225" s="5" t="str">
        <f aca="false">IF(E225="","",F225+G225+H225+I225)</f>
        <v/>
      </c>
      <c r="K225" s="5" t="str">
        <f aca="false">IF(E225="","",E225-J225)</f>
        <v/>
      </c>
      <c r="L225" s="6" t="str">
        <f aca="false">IF(A225="","",DATE(YEAR(A225),MONTH(A225),1))</f>
        <v/>
      </c>
      <c r="M225" s="3"/>
    </row>
    <row r="226" customFormat="false" ht="15" hidden="false" customHeight="false" outlineLevel="0" collapsed="false">
      <c r="A226" s="2"/>
      <c r="B226" s="3"/>
      <c r="C226" s="3"/>
      <c r="D226" s="3"/>
      <c r="E226" s="4"/>
      <c r="F226" s="4"/>
      <c r="G226" s="4"/>
      <c r="H226" s="5" t="str">
        <f aca="false">IF(E226="","",ROUND(E226*Réglages!$B$3,2))</f>
        <v/>
      </c>
      <c r="I226" s="5" t="str">
        <f aca="false">IF(E226="","",ROUND(E226*Réglages!$B$4,2))</f>
        <v/>
      </c>
      <c r="J226" s="5" t="str">
        <f aca="false">IF(E226="","",F226+G226+H226+I226)</f>
        <v/>
      </c>
      <c r="K226" s="5" t="str">
        <f aca="false">IF(E226="","",E226-J226)</f>
        <v/>
      </c>
      <c r="L226" s="6" t="str">
        <f aca="false">IF(A226="","",DATE(YEAR(A226),MONTH(A226),1))</f>
        <v/>
      </c>
      <c r="M226" s="3"/>
    </row>
    <row r="227" customFormat="false" ht="15" hidden="false" customHeight="false" outlineLevel="0" collapsed="false">
      <c r="A227" s="2"/>
      <c r="B227" s="3"/>
      <c r="C227" s="3"/>
      <c r="D227" s="3"/>
      <c r="E227" s="4"/>
      <c r="F227" s="4"/>
      <c r="G227" s="4"/>
      <c r="H227" s="5" t="str">
        <f aca="false">IF(E227="","",ROUND(E227*Réglages!$B$3,2))</f>
        <v/>
      </c>
      <c r="I227" s="5" t="str">
        <f aca="false">IF(E227="","",ROUND(E227*Réglages!$B$4,2))</f>
        <v/>
      </c>
      <c r="J227" s="5" t="str">
        <f aca="false">IF(E227="","",F227+G227+H227+I227)</f>
        <v/>
      </c>
      <c r="K227" s="5" t="str">
        <f aca="false">IF(E227="","",E227-J227)</f>
        <v/>
      </c>
      <c r="L227" s="6" t="str">
        <f aca="false">IF(A227="","",DATE(YEAR(A227),MONTH(A227),1))</f>
        <v/>
      </c>
      <c r="M227" s="3"/>
    </row>
    <row r="228" customFormat="false" ht="15" hidden="false" customHeight="false" outlineLevel="0" collapsed="false">
      <c r="A228" s="2"/>
      <c r="B228" s="3"/>
      <c r="C228" s="3"/>
      <c r="D228" s="3"/>
      <c r="E228" s="4"/>
      <c r="F228" s="4"/>
      <c r="G228" s="4"/>
      <c r="H228" s="5" t="str">
        <f aca="false">IF(E228="","",ROUND(E228*Réglages!$B$3,2))</f>
        <v/>
      </c>
      <c r="I228" s="5" t="str">
        <f aca="false">IF(E228="","",ROUND(E228*Réglages!$B$4,2))</f>
        <v/>
      </c>
      <c r="J228" s="5" t="str">
        <f aca="false">IF(E228="","",F228+G228+H228+I228)</f>
        <v/>
      </c>
      <c r="K228" s="5" t="str">
        <f aca="false">IF(E228="","",E228-J228)</f>
        <v/>
      </c>
      <c r="L228" s="6" t="str">
        <f aca="false">IF(A228="","",DATE(YEAR(A228),MONTH(A228),1))</f>
        <v/>
      </c>
      <c r="M228" s="3"/>
    </row>
    <row r="229" customFormat="false" ht="15" hidden="false" customHeight="false" outlineLevel="0" collapsed="false">
      <c r="A229" s="2"/>
      <c r="B229" s="3"/>
      <c r="C229" s="3"/>
      <c r="D229" s="3"/>
      <c r="E229" s="4"/>
      <c r="F229" s="4"/>
      <c r="G229" s="4"/>
      <c r="H229" s="5" t="str">
        <f aca="false">IF(E229="","",ROUND(E229*Réglages!$B$3,2))</f>
        <v/>
      </c>
      <c r="I229" s="5" t="str">
        <f aca="false">IF(E229="","",ROUND(E229*Réglages!$B$4,2))</f>
        <v/>
      </c>
      <c r="J229" s="5" t="str">
        <f aca="false">IF(E229="","",F229+G229+H229+I229)</f>
        <v/>
      </c>
      <c r="K229" s="5" t="str">
        <f aca="false">IF(E229="","",E229-J229)</f>
        <v/>
      </c>
      <c r="L229" s="6" t="str">
        <f aca="false">IF(A229="","",DATE(YEAR(A229),MONTH(A229),1))</f>
        <v/>
      </c>
      <c r="M229" s="3"/>
    </row>
    <row r="230" customFormat="false" ht="15" hidden="false" customHeight="false" outlineLevel="0" collapsed="false">
      <c r="A230" s="2"/>
      <c r="B230" s="3"/>
      <c r="C230" s="3"/>
      <c r="D230" s="3"/>
      <c r="E230" s="4"/>
      <c r="F230" s="4"/>
      <c r="G230" s="4"/>
      <c r="H230" s="5" t="str">
        <f aca="false">IF(E230="","",ROUND(E230*Réglages!$B$3,2))</f>
        <v/>
      </c>
      <c r="I230" s="5" t="str">
        <f aca="false">IF(E230="","",ROUND(E230*Réglages!$B$4,2))</f>
        <v/>
      </c>
      <c r="J230" s="5" t="str">
        <f aca="false">IF(E230="","",F230+G230+H230+I230)</f>
        <v/>
      </c>
      <c r="K230" s="5" t="str">
        <f aca="false">IF(E230="","",E230-J230)</f>
        <v/>
      </c>
      <c r="L230" s="6" t="str">
        <f aca="false">IF(A230="","",DATE(YEAR(A230),MONTH(A230),1))</f>
        <v/>
      </c>
      <c r="M230" s="3"/>
    </row>
    <row r="231" customFormat="false" ht="15" hidden="false" customHeight="false" outlineLevel="0" collapsed="false">
      <c r="A231" s="2"/>
      <c r="B231" s="3"/>
      <c r="C231" s="3"/>
      <c r="D231" s="3"/>
      <c r="E231" s="4"/>
      <c r="F231" s="4"/>
      <c r="G231" s="4"/>
      <c r="H231" s="5" t="str">
        <f aca="false">IF(E231="","",ROUND(E231*Réglages!$B$3,2))</f>
        <v/>
      </c>
      <c r="I231" s="5" t="str">
        <f aca="false">IF(E231="","",ROUND(E231*Réglages!$B$4,2))</f>
        <v/>
      </c>
      <c r="J231" s="5" t="str">
        <f aca="false">IF(E231="","",F231+G231+H231+I231)</f>
        <v/>
      </c>
      <c r="K231" s="5" t="str">
        <f aca="false">IF(E231="","",E231-J231)</f>
        <v/>
      </c>
      <c r="L231" s="6" t="str">
        <f aca="false">IF(A231="","",DATE(YEAR(A231),MONTH(A231),1))</f>
        <v/>
      </c>
      <c r="M231" s="3"/>
    </row>
    <row r="232" customFormat="false" ht="15" hidden="false" customHeight="false" outlineLevel="0" collapsed="false">
      <c r="A232" s="2"/>
      <c r="B232" s="3"/>
      <c r="C232" s="3"/>
      <c r="D232" s="3"/>
      <c r="E232" s="4"/>
      <c r="F232" s="4"/>
      <c r="G232" s="4"/>
      <c r="H232" s="5" t="str">
        <f aca="false">IF(E232="","",ROUND(E232*Réglages!$B$3,2))</f>
        <v/>
      </c>
      <c r="I232" s="5" t="str">
        <f aca="false">IF(E232="","",ROUND(E232*Réglages!$B$4,2))</f>
        <v/>
      </c>
      <c r="J232" s="5" t="str">
        <f aca="false">IF(E232="","",F232+G232+H232+I232)</f>
        <v/>
      </c>
      <c r="K232" s="5" t="str">
        <f aca="false">IF(E232="","",E232-J232)</f>
        <v/>
      </c>
      <c r="L232" s="6" t="str">
        <f aca="false">IF(A232="","",DATE(YEAR(A232),MONTH(A232),1))</f>
        <v/>
      </c>
      <c r="M232" s="3"/>
    </row>
    <row r="233" customFormat="false" ht="15" hidden="false" customHeight="false" outlineLevel="0" collapsed="false">
      <c r="A233" s="2"/>
      <c r="B233" s="3"/>
      <c r="C233" s="3"/>
      <c r="D233" s="3"/>
      <c r="E233" s="4"/>
      <c r="F233" s="4"/>
      <c r="G233" s="4"/>
      <c r="H233" s="5" t="str">
        <f aca="false">IF(E233="","",ROUND(E233*Réglages!$B$3,2))</f>
        <v/>
      </c>
      <c r="I233" s="5" t="str">
        <f aca="false">IF(E233="","",ROUND(E233*Réglages!$B$4,2))</f>
        <v/>
      </c>
      <c r="J233" s="5" t="str">
        <f aca="false">IF(E233="","",F233+G233+H233+I233)</f>
        <v/>
      </c>
      <c r="K233" s="5" t="str">
        <f aca="false">IF(E233="","",E233-J233)</f>
        <v/>
      </c>
      <c r="L233" s="6" t="str">
        <f aca="false">IF(A233="","",DATE(YEAR(A233),MONTH(A233),1))</f>
        <v/>
      </c>
      <c r="M233" s="3"/>
    </row>
    <row r="234" customFormat="false" ht="15" hidden="false" customHeight="false" outlineLevel="0" collapsed="false">
      <c r="A234" s="2"/>
      <c r="B234" s="3"/>
      <c r="C234" s="3"/>
      <c r="D234" s="3"/>
      <c r="E234" s="4"/>
      <c r="F234" s="4"/>
      <c r="G234" s="4"/>
      <c r="H234" s="5" t="str">
        <f aca="false">IF(E234="","",ROUND(E234*Réglages!$B$3,2))</f>
        <v/>
      </c>
      <c r="I234" s="5" t="str">
        <f aca="false">IF(E234="","",ROUND(E234*Réglages!$B$4,2))</f>
        <v/>
      </c>
      <c r="J234" s="5" t="str">
        <f aca="false">IF(E234="","",F234+G234+H234+I234)</f>
        <v/>
      </c>
      <c r="K234" s="5" t="str">
        <f aca="false">IF(E234="","",E234-J234)</f>
        <v/>
      </c>
      <c r="L234" s="6" t="str">
        <f aca="false">IF(A234="","",DATE(YEAR(A234),MONTH(A234),1))</f>
        <v/>
      </c>
      <c r="M234" s="3"/>
    </row>
    <row r="235" customFormat="false" ht="15" hidden="false" customHeight="false" outlineLevel="0" collapsed="false">
      <c r="A235" s="2"/>
      <c r="B235" s="3"/>
      <c r="C235" s="3"/>
      <c r="D235" s="3"/>
      <c r="E235" s="4"/>
      <c r="F235" s="4"/>
      <c r="G235" s="4"/>
      <c r="H235" s="5" t="str">
        <f aca="false">IF(E235="","",ROUND(E235*Réglages!$B$3,2))</f>
        <v/>
      </c>
      <c r="I235" s="5" t="str">
        <f aca="false">IF(E235="","",ROUND(E235*Réglages!$B$4,2))</f>
        <v/>
      </c>
      <c r="J235" s="5" t="str">
        <f aca="false">IF(E235="","",F235+G235+H235+I235)</f>
        <v/>
      </c>
      <c r="K235" s="5" t="str">
        <f aca="false">IF(E235="","",E235-J235)</f>
        <v/>
      </c>
      <c r="L235" s="6" t="str">
        <f aca="false">IF(A235="","",DATE(YEAR(A235),MONTH(A235),1))</f>
        <v/>
      </c>
      <c r="M235" s="3"/>
    </row>
    <row r="236" customFormat="false" ht="15" hidden="false" customHeight="false" outlineLevel="0" collapsed="false">
      <c r="A236" s="2"/>
      <c r="B236" s="3"/>
      <c r="C236" s="3"/>
      <c r="D236" s="3"/>
      <c r="E236" s="4"/>
      <c r="F236" s="4"/>
      <c r="G236" s="4"/>
      <c r="H236" s="5" t="str">
        <f aca="false">IF(E236="","",ROUND(E236*Réglages!$B$3,2))</f>
        <v/>
      </c>
      <c r="I236" s="5" t="str">
        <f aca="false">IF(E236="","",ROUND(E236*Réglages!$B$4,2))</f>
        <v/>
      </c>
      <c r="J236" s="5" t="str">
        <f aca="false">IF(E236="","",F236+G236+H236+I236)</f>
        <v/>
      </c>
      <c r="K236" s="5" t="str">
        <f aca="false">IF(E236="","",E236-J236)</f>
        <v/>
      </c>
      <c r="L236" s="6" t="str">
        <f aca="false">IF(A236="","",DATE(YEAR(A236),MONTH(A236),1))</f>
        <v/>
      </c>
      <c r="M236" s="3"/>
    </row>
    <row r="237" customFormat="false" ht="15" hidden="false" customHeight="false" outlineLevel="0" collapsed="false">
      <c r="A237" s="2"/>
      <c r="B237" s="3"/>
      <c r="C237" s="3"/>
      <c r="D237" s="3"/>
      <c r="E237" s="4"/>
      <c r="F237" s="4"/>
      <c r="G237" s="4"/>
      <c r="H237" s="5" t="str">
        <f aca="false">IF(E237="","",ROUND(E237*Réglages!$B$3,2))</f>
        <v/>
      </c>
      <c r="I237" s="5" t="str">
        <f aca="false">IF(E237="","",ROUND(E237*Réglages!$B$4,2))</f>
        <v/>
      </c>
      <c r="J237" s="5" t="str">
        <f aca="false">IF(E237="","",F237+G237+H237+I237)</f>
        <v/>
      </c>
      <c r="K237" s="5" t="str">
        <f aca="false">IF(E237="","",E237-J237)</f>
        <v/>
      </c>
      <c r="L237" s="6" t="str">
        <f aca="false">IF(A237="","",DATE(YEAR(A237),MONTH(A237),1))</f>
        <v/>
      </c>
      <c r="M237" s="3"/>
    </row>
    <row r="238" customFormat="false" ht="15" hidden="false" customHeight="false" outlineLevel="0" collapsed="false">
      <c r="A238" s="2"/>
      <c r="B238" s="3"/>
      <c r="C238" s="3"/>
      <c r="D238" s="3"/>
      <c r="E238" s="4"/>
      <c r="F238" s="4"/>
      <c r="G238" s="4"/>
      <c r="H238" s="5" t="str">
        <f aca="false">IF(E238="","",ROUND(E238*Réglages!$B$3,2))</f>
        <v/>
      </c>
      <c r="I238" s="5" t="str">
        <f aca="false">IF(E238="","",ROUND(E238*Réglages!$B$4,2))</f>
        <v/>
      </c>
      <c r="J238" s="5" t="str">
        <f aca="false">IF(E238="","",F238+G238+H238+I238)</f>
        <v/>
      </c>
      <c r="K238" s="5" t="str">
        <f aca="false">IF(E238="","",E238-J238)</f>
        <v/>
      </c>
      <c r="L238" s="6" t="str">
        <f aca="false">IF(A238="","",DATE(YEAR(A238),MONTH(A238),1))</f>
        <v/>
      </c>
      <c r="M238" s="3"/>
    </row>
    <row r="239" customFormat="false" ht="15" hidden="false" customHeight="false" outlineLevel="0" collapsed="false">
      <c r="A239" s="2"/>
      <c r="B239" s="3"/>
      <c r="C239" s="3"/>
      <c r="D239" s="3"/>
      <c r="E239" s="4"/>
      <c r="F239" s="4"/>
      <c r="G239" s="4"/>
      <c r="H239" s="5" t="str">
        <f aca="false">IF(E239="","",ROUND(E239*Réglages!$B$3,2))</f>
        <v/>
      </c>
      <c r="I239" s="5" t="str">
        <f aca="false">IF(E239="","",ROUND(E239*Réglages!$B$4,2))</f>
        <v/>
      </c>
      <c r="J239" s="5" t="str">
        <f aca="false">IF(E239="","",F239+G239+H239+I239)</f>
        <v/>
      </c>
      <c r="K239" s="5" t="str">
        <f aca="false">IF(E239="","",E239-J239)</f>
        <v/>
      </c>
      <c r="L239" s="6" t="str">
        <f aca="false">IF(A239="","",DATE(YEAR(A239),MONTH(A239),1))</f>
        <v/>
      </c>
      <c r="M239" s="3"/>
    </row>
    <row r="240" customFormat="false" ht="15" hidden="false" customHeight="false" outlineLevel="0" collapsed="false">
      <c r="A240" s="2"/>
      <c r="B240" s="3"/>
      <c r="C240" s="3"/>
      <c r="D240" s="3"/>
      <c r="E240" s="4"/>
      <c r="F240" s="4"/>
      <c r="G240" s="4"/>
      <c r="H240" s="5" t="str">
        <f aca="false">IF(E240="","",ROUND(E240*Réglages!$B$3,2))</f>
        <v/>
      </c>
      <c r="I240" s="5" t="str">
        <f aca="false">IF(E240="","",ROUND(E240*Réglages!$B$4,2))</f>
        <v/>
      </c>
      <c r="J240" s="5" t="str">
        <f aca="false">IF(E240="","",F240+G240+H240+I240)</f>
        <v/>
      </c>
      <c r="K240" s="5" t="str">
        <f aca="false">IF(E240="","",E240-J240)</f>
        <v/>
      </c>
      <c r="L240" s="6" t="str">
        <f aca="false">IF(A240="","",DATE(YEAR(A240),MONTH(A240),1))</f>
        <v/>
      </c>
      <c r="M240" s="3"/>
    </row>
    <row r="241" customFormat="false" ht="15" hidden="false" customHeight="false" outlineLevel="0" collapsed="false">
      <c r="A241" s="2"/>
      <c r="B241" s="3"/>
      <c r="C241" s="3"/>
      <c r="D241" s="3"/>
      <c r="E241" s="4"/>
      <c r="F241" s="4"/>
      <c r="G241" s="4"/>
      <c r="H241" s="5" t="str">
        <f aca="false">IF(E241="","",ROUND(E241*Réglages!$B$3,2))</f>
        <v/>
      </c>
      <c r="I241" s="5" t="str">
        <f aca="false">IF(E241="","",ROUND(E241*Réglages!$B$4,2))</f>
        <v/>
      </c>
      <c r="J241" s="5" t="str">
        <f aca="false">IF(E241="","",F241+G241+H241+I241)</f>
        <v/>
      </c>
      <c r="K241" s="5" t="str">
        <f aca="false">IF(E241="","",E241-J241)</f>
        <v/>
      </c>
      <c r="L241" s="6" t="str">
        <f aca="false">IF(A241="","",DATE(YEAR(A241),MONTH(A241),1))</f>
        <v/>
      </c>
      <c r="M241" s="3"/>
    </row>
    <row r="242" customFormat="false" ht="15" hidden="false" customHeight="false" outlineLevel="0" collapsed="false">
      <c r="A242" s="2"/>
      <c r="B242" s="3"/>
      <c r="C242" s="3"/>
      <c r="D242" s="3"/>
      <c r="E242" s="4"/>
      <c r="F242" s="4"/>
      <c r="G242" s="4"/>
      <c r="H242" s="5" t="str">
        <f aca="false">IF(E242="","",ROUND(E242*Réglages!$B$3,2))</f>
        <v/>
      </c>
      <c r="I242" s="5" t="str">
        <f aca="false">IF(E242="","",ROUND(E242*Réglages!$B$4,2))</f>
        <v/>
      </c>
      <c r="J242" s="5" t="str">
        <f aca="false">IF(E242="","",F242+G242+H242+I242)</f>
        <v/>
      </c>
      <c r="K242" s="5" t="str">
        <f aca="false">IF(E242="","",E242-J242)</f>
        <v/>
      </c>
      <c r="L242" s="6" t="str">
        <f aca="false">IF(A242="","",DATE(YEAR(A242),MONTH(A242),1))</f>
        <v/>
      </c>
      <c r="M242" s="3"/>
    </row>
    <row r="243" customFormat="false" ht="15" hidden="false" customHeight="false" outlineLevel="0" collapsed="false">
      <c r="A243" s="2"/>
      <c r="B243" s="3"/>
      <c r="C243" s="3"/>
      <c r="D243" s="3"/>
      <c r="E243" s="4"/>
      <c r="F243" s="4"/>
      <c r="G243" s="4"/>
      <c r="H243" s="5" t="str">
        <f aca="false">IF(E243="","",ROUND(E243*Réglages!$B$3,2))</f>
        <v/>
      </c>
      <c r="I243" s="5" t="str">
        <f aca="false">IF(E243="","",ROUND(E243*Réglages!$B$4,2))</f>
        <v/>
      </c>
      <c r="J243" s="5" t="str">
        <f aca="false">IF(E243="","",F243+G243+H243+I243)</f>
        <v/>
      </c>
      <c r="K243" s="5" t="str">
        <f aca="false">IF(E243="","",E243-J243)</f>
        <v/>
      </c>
      <c r="L243" s="6" t="str">
        <f aca="false">IF(A243="","",DATE(YEAR(A243),MONTH(A243),1))</f>
        <v/>
      </c>
      <c r="M243" s="3"/>
    </row>
    <row r="244" customFormat="false" ht="15" hidden="false" customHeight="false" outlineLevel="0" collapsed="false">
      <c r="A244" s="2"/>
      <c r="B244" s="3"/>
      <c r="C244" s="3"/>
      <c r="D244" s="3"/>
      <c r="E244" s="4"/>
      <c r="F244" s="4"/>
      <c r="G244" s="4"/>
      <c r="H244" s="5" t="str">
        <f aca="false">IF(E244="","",ROUND(E244*Réglages!$B$3,2))</f>
        <v/>
      </c>
      <c r="I244" s="5" t="str">
        <f aca="false">IF(E244="","",ROUND(E244*Réglages!$B$4,2))</f>
        <v/>
      </c>
      <c r="J244" s="5" t="str">
        <f aca="false">IF(E244="","",F244+G244+H244+I244)</f>
        <v/>
      </c>
      <c r="K244" s="5" t="str">
        <f aca="false">IF(E244="","",E244-J244)</f>
        <v/>
      </c>
      <c r="L244" s="6" t="str">
        <f aca="false">IF(A244="","",DATE(YEAR(A244),MONTH(A244),1))</f>
        <v/>
      </c>
      <c r="M244" s="3"/>
    </row>
    <row r="245" customFormat="false" ht="15" hidden="false" customHeight="false" outlineLevel="0" collapsed="false">
      <c r="A245" s="2"/>
      <c r="B245" s="3"/>
      <c r="C245" s="3"/>
      <c r="D245" s="3"/>
      <c r="E245" s="4"/>
      <c r="F245" s="4"/>
      <c r="G245" s="4"/>
      <c r="H245" s="5" t="str">
        <f aca="false">IF(E245="","",ROUND(E245*Réglages!$B$3,2))</f>
        <v/>
      </c>
      <c r="I245" s="5" t="str">
        <f aca="false">IF(E245="","",ROUND(E245*Réglages!$B$4,2))</f>
        <v/>
      </c>
      <c r="J245" s="5" t="str">
        <f aca="false">IF(E245="","",F245+G245+H245+I245)</f>
        <v/>
      </c>
      <c r="K245" s="5" t="str">
        <f aca="false">IF(E245="","",E245-J245)</f>
        <v/>
      </c>
      <c r="L245" s="6" t="str">
        <f aca="false">IF(A245="","",DATE(YEAR(A245),MONTH(A245),1))</f>
        <v/>
      </c>
      <c r="M245" s="3"/>
    </row>
    <row r="246" customFormat="false" ht="15" hidden="false" customHeight="false" outlineLevel="0" collapsed="false">
      <c r="A246" s="2"/>
      <c r="B246" s="3"/>
      <c r="C246" s="3"/>
      <c r="D246" s="3"/>
      <c r="E246" s="4"/>
      <c r="F246" s="4"/>
      <c r="G246" s="4"/>
      <c r="H246" s="5" t="str">
        <f aca="false">IF(E246="","",ROUND(E246*Réglages!$B$3,2))</f>
        <v/>
      </c>
      <c r="I246" s="5" t="str">
        <f aca="false">IF(E246="","",ROUND(E246*Réglages!$B$4,2))</f>
        <v/>
      </c>
      <c r="J246" s="5" t="str">
        <f aca="false">IF(E246="","",F246+G246+H246+I246)</f>
        <v/>
      </c>
      <c r="K246" s="5" t="str">
        <f aca="false">IF(E246="","",E246-J246)</f>
        <v/>
      </c>
      <c r="L246" s="6" t="str">
        <f aca="false">IF(A246="","",DATE(YEAR(A246),MONTH(A246),1))</f>
        <v/>
      </c>
      <c r="M246" s="3"/>
    </row>
    <row r="247" customFormat="false" ht="15" hidden="false" customHeight="false" outlineLevel="0" collapsed="false">
      <c r="A247" s="2"/>
      <c r="B247" s="3"/>
      <c r="C247" s="3"/>
      <c r="D247" s="3"/>
      <c r="E247" s="4"/>
      <c r="F247" s="4"/>
      <c r="G247" s="4"/>
      <c r="H247" s="5" t="str">
        <f aca="false">IF(E247="","",ROUND(E247*Réglages!$B$3,2))</f>
        <v/>
      </c>
      <c r="I247" s="5" t="str">
        <f aca="false">IF(E247="","",ROUND(E247*Réglages!$B$4,2))</f>
        <v/>
      </c>
      <c r="J247" s="5" t="str">
        <f aca="false">IF(E247="","",F247+G247+H247+I247)</f>
        <v/>
      </c>
      <c r="K247" s="5" t="str">
        <f aca="false">IF(E247="","",E247-J247)</f>
        <v/>
      </c>
      <c r="L247" s="6" t="str">
        <f aca="false">IF(A247="","",DATE(YEAR(A247),MONTH(A247),1))</f>
        <v/>
      </c>
      <c r="M247" s="3"/>
    </row>
    <row r="248" customFormat="false" ht="15" hidden="false" customHeight="false" outlineLevel="0" collapsed="false">
      <c r="A248" s="2"/>
      <c r="B248" s="3"/>
      <c r="C248" s="3"/>
      <c r="D248" s="3"/>
      <c r="E248" s="4"/>
      <c r="F248" s="4"/>
      <c r="G248" s="4"/>
      <c r="H248" s="5" t="str">
        <f aca="false">IF(E248="","",ROUND(E248*Réglages!$B$3,2))</f>
        <v/>
      </c>
      <c r="I248" s="5" t="str">
        <f aca="false">IF(E248="","",ROUND(E248*Réglages!$B$4,2))</f>
        <v/>
      </c>
      <c r="J248" s="5" t="str">
        <f aca="false">IF(E248="","",F248+G248+H248+I248)</f>
        <v/>
      </c>
      <c r="K248" s="5" t="str">
        <f aca="false">IF(E248="","",E248-J248)</f>
        <v/>
      </c>
      <c r="L248" s="6" t="str">
        <f aca="false">IF(A248="","",DATE(YEAR(A248),MONTH(A248),1))</f>
        <v/>
      </c>
      <c r="M248" s="3"/>
    </row>
    <row r="249" customFormat="false" ht="15" hidden="false" customHeight="false" outlineLevel="0" collapsed="false">
      <c r="A249" s="2"/>
      <c r="B249" s="3"/>
      <c r="C249" s="3"/>
      <c r="D249" s="3"/>
      <c r="E249" s="4"/>
      <c r="F249" s="4"/>
      <c r="G249" s="4"/>
      <c r="H249" s="5" t="str">
        <f aca="false">IF(E249="","",ROUND(E249*Réglages!$B$3,2))</f>
        <v/>
      </c>
      <c r="I249" s="5" t="str">
        <f aca="false">IF(E249="","",ROUND(E249*Réglages!$B$4,2))</f>
        <v/>
      </c>
      <c r="J249" s="5" t="str">
        <f aca="false">IF(E249="","",F249+G249+H249+I249)</f>
        <v/>
      </c>
      <c r="K249" s="5" t="str">
        <f aca="false">IF(E249="","",E249-J249)</f>
        <v/>
      </c>
      <c r="L249" s="6" t="str">
        <f aca="false">IF(A249="","",DATE(YEAR(A249),MONTH(A249),1))</f>
        <v/>
      </c>
      <c r="M249" s="3"/>
    </row>
    <row r="250" customFormat="false" ht="15" hidden="false" customHeight="false" outlineLevel="0" collapsed="false">
      <c r="A250" s="2"/>
      <c r="B250" s="3"/>
      <c r="C250" s="3"/>
      <c r="D250" s="3"/>
      <c r="E250" s="4"/>
      <c r="F250" s="4"/>
      <c r="G250" s="4"/>
      <c r="H250" s="5" t="str">
        <f aca="false">IF(E250="","",ROUND(E250*Réglages!$B$3,2))</f>
        <v/>
      </c>
      <c r="I250" s="5" t="str">
        <f aca="false">IF(E250="","",ROUND(E250*Réglages!$B$4,2))</f>
        <v/>
      </c>
      <c r="J250" s="5" t="str">
        <f aca="false">IF(E250="","",F250+G250+H250+I250)</f>
        <v/>
      </c>
      <c r="K250" s="5" t="str">
        <f aca="false">IF(E250="","",E250-J250)</f>
        <v/>
      </c>
      <c r="L250" s="6" t="str">
        <f aca="false">IF(A250="","",DATE(YEAR(A250),MONTH(A250),1))</f>
        <v/>
      </c>
      <c r="M250" s="3"/>
    </row>
    <row r="251" customFormat="false" ht="15" hidden="false" customHeight="false" outlineLevel="0" collapsed="false">
      <c r="A251" s="2"/>
      <c r="B251" s="3"/>
      <c r="C251" s="3"/>
      <c r="D251" s="3"/>
      <c r="E251" s="4"/>
      <c r="F251" s="4"/>
      <c r="G251" s="4"/>
      <c r="H251" s="5" t="str">
        <f aca="false">IF(E251="","",ROUND(E251*Réglages!$B$3,2))</f>
        <v/>
      </c>
      <c r="I251" s="5" t="str">
        <f aca="false">IF(E251="","",ROUND(E251*Réglages!$B$4,2))</f>
        <v/>
      </c>
      <c r="J251" s="5" t="str">
        <f aca="false">IF(E251="","",F251+G251+H251+I251)</f>
        <v/>
      </c>
      <c r="K251" s="5" t="str">
        <f aca="false">IF(E251="","",E251-J251)</f>
        <v/>
      </c>
      <c r="L251" s="6" t="str">
        <f aca="false">IF(A251="","",DATE(YEAR(A251),MONTH(A251),1))</f>
        <v/>
      </c>
      <c r="M251" s="3"/>
    </row>
    <row r="252" customFormat="false" ht="15" hidden="false" customHeight="false" outlineLevel="0" collapsed="false">
      <c r="A252" s="2"/>
      <c r="B252" s="3"/>
      <c r="C252" s="3"/>
      <c r="D252" s="3"/>
      <c r="E252" s="4"/>
      <c r="F252" s="4"/>
      <c r="G252" s="4"/>
      <c r="H252" s="5" t="str">
        <f aca="false">IF(E252="","",ROUND(E252*Réglages!$B$3,2))</f>
        <v/>
      </c>
      <c r="I252" s="5" t="str">
        <f aca="false">IF(E252="","",ROUND(E252*Réglages!$B$4,2))</f>
        <v/>
      </c>
      <c r="J252" s="5" t="str">
        <f aca="false">IF(E252="","",F252+G252+H252+I252)</f>
        <v/>
      </c>
      <c r="K252" s="5" t="str">
        <f aca="false">IF(E252="","",E252-J252)</f>
        <v/>
      </c>
      <c r="L252" s="6" t="str">
        <f aca="false">IF(A252="","",DATE(YEAR(A252),MONTH(A252),1))</f>
        <v/>
      </c>
      <c r="M252" s="3"/>
    </row>
    <row r="253" customFormat="false" ht="15" hidden="false" customHeight="false" outlineLevel="0" collapsed="false">
      <c r="A253" s="2"/>
      <c r="B253" s="3"/>
      <c r="C253" s="3"/>
      <c r="D253" s="3"/>
      <c r="E253" s="4"/>
      <c r="F253" s="4"/>
      <c r="G253" s="4"/>
      <c r="H253" s="5" t="str">
        <f aca="false">IF(E253="","",ROUND(E253*Réglages!$B$3,2))</f>
        <v/>
      </c>
      <c r="I253" s="5" t="str">
        <f aca="false">IF(E253="","",ROUND(E253*Réglages!$B$4,2))</f>
        <v/>
      </c>
      <c r="J253" s="5" t="str">
        <f aca="false">IF(E253="","",F253+G253+H253+I253)</f>
        <v/>
      </c>
      <c r="K253" s="5" t="str">
        <f aca="false">IF(E253="","",E253-J253)</f>
        <v/>
      </c>
      <c r="L253" s="6" t="str">
        <f aca="false">IF(A253="","",DATE(YEAR(A253),MONTH(A253),1))</f>
        <v/>
      </c>
      <c r="M253" s="3"/>
    </row>
    <row r="254" customFormat="false" ht="15" hidden="false" customHeight="false" outlineLevel="0" collapsed="false">
      <c r="A254" s="2"/>
      <c r="B254" s="3"/>
      <c r="C254" s="3"/>
      <c r="D254" s="3"/>
      <c r="E254" s="4"/>
      <c r="F254" s="4"/>
      <c r="G254" s="4"/>
      <c r="H254" s="5" t="str">
        <f aca="false">IF(E254="","",ROUND(E254*Réglages!$B$3,2))</f>
        <v/>
      </c>
      <c r="I254" s="5" t="str">
        <f aca="false">IF(E254="","",ROUND(E254*Réglages!$B$4,2))</f>
        <v/>
      </c>
      <c r="J254" s="5" t="str">
        <f aca="false">IF(E254="","",F254+G254+H254+I254)</f>
        <v/>
      </c>
      <c r="K254" s="5" t="str">
        <f aca="false">IF(E254="","",E254-J254)</f>
        <v/>
      </c>
      <c r="L254" s="6" t="str">
        <f aca="false">IF(A254="","",DATE(YEAR(A254),MONTH(A254),1))</f>
        <v/>
      </c>
      <c r="M254" s="3"/>
    </row>
    <row r="255" customFormat="false" ht="15" hidden="false" customHeight="false" outlineLevel="0" collapsed="false">
      <c r="A255" s="2"/>
      <c r="B255" s="3"/>
      <c r="C255" s="3"/>
      <c r="D255" s="3"/>
      <c r="E255" s="4"/>
      <c r="F255" s="4"/>
      <c r="G255" s="4"/>
      <c r="H255" s="5" t="str">
        <f aca="false">IF(E255="","",ROUND(E255*Réglages!$B$3,2))</f>
        <v/>
      </c>
      <c r="I255" s="5" t="str">
        <f aca="false">IF(E255="","",ROUND(E255*Réglages!$B$4,2))</f>
        <v/>
      </c>
      <c r="J255" s="5" t="str">
        <f aca="false">IF(E255="","",F255+G255+H255+I255)</f>
        <v/>
      </c>
      <c r="K255" s="5" t="str">
        <f aca="false">IF(E255="","",E255-J255)</f>
        <v/>
      </c>
      <c r="L255" s="6" t="str">
        <f aca="false">IF(A255="","",DATE(YEAR(A255),MONTH(A255),1))</f>
        <v/>
      </c>
      <c r="M255" s="3"/>
    </row>
    <row r="256" customFormat="false" ht="15" hidden="false" customHeight="false" outlineLevel="0" collapsed="false">
      <c r="A256" s="2"/>
      <c r="B256" s="3"/>
      <c r="C256" s="3"/>
      <c r="D256" s="3"/>
      <c r="E256" s="4"/>
      <c r="F256" s="4"/>
      <c r="G256" s="4"/>
      <c r="H256" s="5" t="str">
        <f aca="false">IF(E256="","",ROUND(E256*Réglages!$B$3,2))</f>
        <v/>
      </c>
      <c r="I256" s="5" t="str">
        <f aca="false">IF(E256="","",ROUND(E256*Réglages!$B$4,2))</f>
        <v/>
      </c>
      <c r="J256" s="5" t="str">
        <f aca="false">IF(E256="","",F256+G256+H256+I256)</f>
        <v/>
      </c>
      <c r="K256" s="5" t="str">
        <f aca="false">IF(E256="","",E256-J256)</f>
        <v/>
      </c>
      <c r="L256" s="6" t="str">
        <f aca="false">IF(A256="","",DATE(YEAR(A256),MONTH(A256),1))</f>
        <v/>
      </c>
      <c r="M256" s="3"/>
    </row>
    <row r="257" customFormat="false" ht="15" hidden="false" customHeight="false" outlineLevel="0" collapsed="false">
      <c r="A257" s="2"/>
      <c r="B257" s="3"/>
      <c r="C257" s="3"/>
      <c r="D257" s="3"/>
      <c r="E257" s="4"/>
      <c r="F257" s="4"/>
      <c r="G257" s="4"/>
      <c r="H257" s="5" t="str">
        <f aca="false">IF(E257="","",ROUND(E257*Réglages!$B$3,2))</f>
        <v/>
      </c>
      <c r="I257" s="5" t="str">
        <f aca="false">IF(E257="","",ROUND(E257*Réglages!$B$4,2))</f>
        <v/>
      </c>
      <c r="J257" s="5" t="str">
        <f aca="false">IF(E257="","",F257+G257+H257+I257)</f>
        <v/>
      </c>
      <c r="K257" s="5" t="str">
        <f aca="false">IF(E257="","",E257-J257)</f>
        <v/>
      </c>
      <c r="L257" s="6" t="str">
        <f aca="false">IF(A257="","",DATE(YEAR(A257),MONTH(A257),1))</f>
        <v/>
      </c>
      <c r="M257" s="3"/>
    </row>
    <row r="258" customFormat="false" ht="15" hidden="false" customHeight="false" outlineLevel="0" collapsed="false">
      <c r="A258" s="2"/>
      <c r="B258" s="3"/>
      <c r="C258" s="3"/>
      <c r="D258" s="3"/>
      <c r="E258" s="4"/>
      <c r="F258" s="4"/>
      <c r="G258" s="4"/>
      <c r="H258" s="5" t="str">
        <f aca="false">IF(E258="","",ROUND(E258*Réglages!$B$3,2))</f>
        <v/>
      </c>
      <c r="I258" s="5" t="str">
        <f aca="false">IF(E258="","",ROUND(E258*Réglages!$B$4,2))</f>
        <v/>
      </c>
      <c r="J258" s="5" t="str">
        <f aca="false">IF(E258="","",F258+G258+H258+I258)</f>
        <v/>
      </c>
      <c r="K258" s="5" t="str">
        <f aca="false">IF(E258="","",E258-J258)</f>
        <v/>
      </c>
      <c r="L258" s="6" t="str">
        <f aca="false">IF(A258="","",DATE(YEAR(A258),MONTH(A258),1))</f>
        <v/>
      </c>
      <c r="M258" s="3"/>
    </row>
    <row r="259" customFormat="false" ht="15" hidden="false" customHeight="false" outlineLevel="0" collapsed="false">
      <c r="A259" s="2"/>
      <c r="B259" s="3"/>
      <c r="C259" s="3"/>
      <c r="D259" s="3"/>
      <c r="E259" s="4"/>
      <c r="F259" s="4"/>
      <c r="G259" s="4"/>
      <c r="H259" s="5" t="str">
        <f aca="false">IF(E259="","",ROUND(E259*Réglages!$B$3,2))</f>
        <v/>
      </c>
      <c r="I259" s="5" t="str">
        <f aca="false">IF(E259="","",ROUND(E259*Réglages!$B$4,2))</f>
        <v/>
      </c>
      <c r="J259" s="5" t="str">
        <f aca="false">IF(E259="","",F259+G259+H259+I259)</f>
        <v/>
      </c>
      <c r="K259" s="5" t="str">
        <f aca="false">IF(E259="","",E259-J259)</f>
        <v/>
      </c>
      <c r="L259" s="6" t="str">
        <f aca="false">IF(A259="","",DATE(YEAR(A259),MONTH(A259),1))</f>
        <v/>
      </c>
      <c r="M259" s="3"/>
    </row>
    <row r="260" customFormat="false" ht="15" hidden="false" customHeight="false" outlineLevel="0" collapsed="false">
      <c r="A260" s="2"/>
      <c r="B260" s="3"/>
      <c r="C260" s="3"/>
      <c r="D260" s="3"/>
      <c r="E260" s="4"/>
      <c r="F260" s="4"/>
      <c r="G260" s="4"/>
      <c r="H260" s="5" t="str">
        <f aca="false">IF(E260="","",ROUND(E260*Réglages!$B$3,2))</f>
        <v/>
      </c>
      <c r="I260" s="5" t="str">
        <f aca="false">IF(E260="","",ROUND(E260*Réglages!$B$4,2))</f>
        <v/>
      </c>
      <c r="J260" s="5" t="str">
        <f aca="false">IF(E260="","",F260+G260+H260+I260)</f>
        <v/>
      </c>
      <c r="K260" s="5" t="str">
        <f aca="false">IF(E260="","",E260-J260)</f>
        <v/>
      </c>
      <c r="L260" s="6" t="str">
        <f aca="false">IF(A260="","",DATE(YEAR(A260),MONTH(A260),1))</f>
        <v/>
      </c>
      <c r="M260" s="3"/>
    </row>
    <row r="261" customFormat="false" ht="15" hidden="false" customHeight="false" outlineLevel="0" collapsed="false">
      <c r="A261" s="2"/>
      <c r="B261" s="3"/>
      <c r="C261" s="3"/>
      <c r="D261" s="3"/>
      <c r="E261" s="4"/>
      <c r="F261" s="4"/>
      <c r="G261" s="4"/>
      <c r="H261" s="5" t="str">
        <f aca="false">IF(E261="","",ROUND(E261*Réglages!$B$3,2))</f>
        <v/>
      </c>
      <c r="I261" s="5" t="str">
        <f aca="false">IF(E261="","",ROUND(E261*Réglages!$B$4,2))</f>
        <v/>
      </c>
      <c r="J261" s="5" t="str">
        <f aca="false">IF(E261="","",F261+G261+H261+I261)</f>
        <v/>
      </c>
      <c r="K261" s="5" t="str">
        <f aca="false">IF(E261="","",E261-J261)</f>
        <v/>
      </c>
      <c r="L261" s="6" t="str">
        <f aca="false">IF(A261="","",DATE(YEAR(A261),MONTH(A261),1))</f>
        <v/>
      </c>
      <c r="M261" s="3"/>
    </row>
    <row r="262" customFormat="false" ht="15" hidden="false" customHeight="false" outlineLevel="0" collapsed="false">
      <c r="A262" s="2"/>
      <c r="B262" s="3"/>
      <c r="C262" s="3"/>
      <c r="D262" s="3"/>
      <c r="E262" s="4"/>
      <c r="F262" s="4"/>
      <c r="G262" s="4"/>
      <c r="H262" s="5" t="str">
        <f aca="false">IF(E262="","",ROUND(E262*Réglages!$B$3,2))</f>
        <v/>
      </c>
      <c r="I262" s="5" t="str">
        <f aca="false">IF(E262="","",ROUND(E262*Réglages!$B$4,2))</f>
        <v/>
      </c>
      <c r="J262" s="5" t="str">
        <f aca="false">IF(E262="","",F262+G262+H262+I262)</f>
        <v/>
      </c>
      <c r="K262" s="5" t="str">
        <f aca="false">IF(E262="","",E262-J262)</f>
        <v/>
      </c>
      <c r="L262" s="6" t="str">
        <f aca="false">IF(A262="","",DATE(YEAR(A262),MONTH(A262),1))</f>
        <v/>
      </c>
      <c r="M262" s="3"/>
    </row>
    <row r="263" customFormat="false" ht="15" hidden="false" customHeight="false" outlineLevel="0" collapsed="false">
      <c r="A263" s="2"/>
      <c r="B263" s="3"/>
      <c r="C263" s="3"/>
      <c r="D263" s="3"/>
      <c r="E263" s="4"/>
      <c r="F263" s="4"/>
      <c r="G263" s="4"/>
      <c r="H263" s="5" t="str">
        <f aca="false">IF(E263="","",ROUND(E263*Réglages!$B$3,2))</f>
        <v/>
      </c>
      <c r="I263" s="5" t="str">
        <f aca="false">IF(E263="","",ROUND(E263*Réglages!$B$4,2))</f>
        <v/>
      </c>
      <c r="J263" s="5" t="str">
        <f aca="false">IF(E263="","",F263+G263+H263+I263)</f>
        <v/>
      </c>
      <c r="K263" s="5" t="str">
        <f aca="false">IF(E263="","",E263-J263)</f>
        <v/>
      </c>
      <c r="L263" s="6" t="str">
        <f aca="false">IF(A263="","",DATE(YEAR(A263),MONTH(A263),1))</f>
        <v/>
      </c>
      <c r="M263" s="3"/>
    </row>
    <row r="264" customFormat="false" ht="15" hidden="false" customHeight="false" outlineLevel="0" collapsed="false">
      <c r="A264" s="2"/>
      <c r="B264" s="3"/>
      <c r="C264" s="3"/>
      <c r="D264" s="3"/>
      <c r="E264" s="4"/>
      <c r="F264" s="4"/>
      <c r="G264" s="4"/>
      <c r="H264" s="5" t="str">
        <f aca="false">IF(E264="","",ROUND(E264*Réglages!$B$3,2))</f>
        <v/>
      </c>
      <c r="I264" s="5" t="str">
        <f aca="false">IF(E264="","",ROUND(E264*Réglages!$B$4,2))</f>
        <v/>
      </c>
      <c r="J264" s="5" t="str">
        <f aca="false">IF(E264="","",F264+G264+H264+I264)</f>
        <v/>
      </c>
      <c r="K264" s="5" t="str">
        <f aca="false">IF(E264="","",E264-J264)</f>
        <v/>
      </c>
      <c r="L264" s="6" t="str">
        <f aca="false">IF(A264="","",DATE(YEAR(A264),MONTH(A264),1))</f>
        <v/>
      </c>
      <c r="M264" s="3"/>
    </row>
    <row r="265" customFormat="false" ht="15" hidden="false" customHeight="false" outlineLevel="0" collapsed="false">
      <c r="A265" s="2"/>
      <c r="B265" s="3"/>
      <c r="C265" s="3"/>
      <c r="D265" s="3"/>
      <c r="E265" s="4"/>
      <c r="F265" s="4"/>
      <c r="G265" s="4"/>
      <c r="H265" s="5" t="str">
        <f aca="false">IF(E265="","",ROUND(E265*Réglages!$B$3,2))</f>
        <v/>
      </c>
      <c r="I265" s="5" t="str">
        <f aca="false">IF(E265="","",ROUND(E265*Réglages!$B$4,2))</f>
        <v/>
      </c>
      <c r="J265" s="5" t="str">
        <f aca="false">IF(E265="","",F265+G265+H265+I265)</f>
        <v/>
      </c>
      <c r="K265" s="5" t="str">
        <f aca="false">IF(E265="","",E265-J265)</f>
        <v/>
      </c>
      <c r="L265" s="6" t="str">
        <f aca="false">IF(A265="","",DATE(YEAR(A265),MONTH(A265),1))</f>
        <v/>
      </c>
      <c r="M265" s="3"/>
    </row>
    <row r="266" customFormat="false" ht="15" hidden="false" customHeight="false" outlineLevel="0" collapsed="false">
      <c r="A266" s="2"/>
      <c r="B266" s="3"/>
      <c r="C266" s="3"/>
      <c r="D266" s="3"/>
      <c r="E266" s="4"/>
      <c r="F266" s="4"/>
      <c r="G266" s="4"/>
      <c r="H266" s="5" t="str">
        <f aca="false">IF(E266="","",ROUND(E266*Réglages!$B$3,2))</f>
        <v/>
      </c>
      <c r="I266" s="5" t="str">
        <f aca="false">IF(E266="","",ROUND(E266*Réglages!$B$4,2))</f>
        <v/>
      </c>
      <c r="J266" s="5" t="str">
        <f aca="false">IF(E266="","",F266+G266+H266+I266)</f>
        <v/>
      </c>
      <c r="K266" s="5" t="str">
        <f aca="false">IF(E266="","",E266-J266)</f>
        <v/>
      </c>
      <c r="L266" s="6" t="str">
        <f aca="false">IF(A266="","",DATE(YEAR(A266),MONTH(A266),1))</f>
        <v/>
      </c>
      <c r="M266" s="3"/>
    </row>
    <row r="267" customFormat="false" ht="15" hidden="false" customHeight="false" outlineLevel="0" collapsed="false">
      <c r="A267" s="2"/>
      <c r="B267" s="3"/>
      <c r="C267" s="3"/>
      <c r="D267" s="3"/>
      <c r="E267" s="4"/>
      <c r="F267" s="4"/>
      <c r="G267" s="4"/>
      <c r="H267" s="5" t="str">
        <f aca="false">IF(E267="","",ROUND(E267*Réglages!$B$3,2))</f>
        <v/>
      </c>
      <c r="I267" s="5" t="str">
        <f aca="false">IF(E267="","",ROUND(E267*Réglages!$B$4,2))</f>
        <v/>
      </c>
      <c r="J267" s="5" t="str">
        <f aca="false">IF(E267="","",F267+G267+H267+I267)</f>
        <v/>
      </c>
      <c r="K267" s="5" t="str">
        <f aca="false">IF(E267="","",E267-J267)</f>
        <v/>
      </c>
      <c r="L267" s="6" t="str">
        <f aca="false">IF(A267="","",DATE(YEAR(A267),MONTH(A267),1))</f>
        <v/>
      </c>
      <c r="M267" s="3"/>
    </row>
    <row r="268" customFormat="false" ht="15" hidden="false" customHeight="false" outlineLevel="0" collapsed="false">
      <c r="A268" s="2"/>
      <c r="B268" s="3"/>
      <c r="C268" s="3"/>
      <c r="D268" s="3"/>
      <c r="E268" s="4"/>
      <c r="F268" s="4"/>
      <c r="G268" s="4"/>
      <c r="H268" s="5" t="str">
        <f aca="false">IF(E268="","",ROUND(E268*Réglages!$B$3,2))</f>
        <v/>
      </c>
      <c r="I268" s="5" t="str">
        <f aca="false">IF(E268="","",ROUND(E268*Réglages!$B$4,2))</f>
        <v/>
      </c>
      <c r="J268" s="5" t="str">
        <f aca="false">IF(E268="","",F268+G268+H268+I268)</f>
        <v/>
      </c>
      <c r="K268" s="5" t="str">
        <f aca="false">IF(E268="","",E268-J268)</f>
        <v/>
      </c>
      <c r="L268" s="6" t="str">
        <f aca="false">IF(A268="","",DATE(YEAR(A268),MONTH(A268),1))</f>
        <v/>
      </c>
      <c r="M268" s="3"/>
    </row>
    <row r="269" customFormat="false" ht="15" hidden="false" customHeight="false" outlineLevel="0" collapsed="false">
      <c r="A269" s="2"/>
      <c r="B269" s="3"/>
      <c r="C269" s="3"/>
      <c r="D269" s="3"/>
      <c r="E269" s="4"/>
      <c r="F269" s="4"/>
      <c r="G269" s="4"/>
      <c r="H269" s="5" t="str">
        <f aca="false">IF(E269="","",ROUND(E269*Réglages!$B$3,2))</f>
        <v/>
      </c>
      <c r="I269" s="5" t="str">
        <f aca="false">IF(E269="","",ROUND(E269*Réglages!$B$4,2))</f>
        <v/>
      </c>
      <c r="J269" s="5" t="str">
        <f aca="false">IF(E269="","",F269+G269+H269+I269)</f>
        <v/>
      </c>
      <c r="K269" s="5" t="str">
        <f aca="false">IF(E269="","",E269-J269)</f>
        <v/>
      </c>
      <c r="L269" s="6" t="str">
        <f aca="false">IF(A269="","",DATE(YEAR(A269),MONTH(A269),1))</f>
        <v/>
      </c>
      <c r="M269" s="3"/>
    </row>
    <row r="270" customFormat="false" ht="15" hidden="false" customHeight="false" outlineLevel="0" collapsed="false">
      <c r="A270" s="2"/>
      <c r="B270" s="3"/>
      <c r="C270" s="3"/>
      <c r="D270" s="3"/>
      <c r="E270" s="4"/>
      <c r="F270" s="4"/>
      <c r="G270" s="4"/>
      <c r="H270" s="5" t="str">
        <f aca="false">IF(E270="","",ROUND(E270*Réglages!$B$3,2))</f>
        <v/>
      </c>
      <c r="I270" s="5" t="str">
        <f aca="false">IF(E270="","",ROUND(E270*Réglages!$B$4,2))</f>
        <v/>
      </c>
      <c r="J270" s="5" t="str">
        <f aca="false">IF(E270="","",F270+G270+H270+I270)</f>
        <v/>
      </c>
      <c r="K270" s="5" t="str">
        <f aca="false">IF(E270="","",E270-J270)</f>
        <v/>
      </c>
      <c r="L270" s="6" t="str">
        <f aca="false">IF(A270="","",DATE(YEAR(A270),MONTH(A270),1))</f>
        <v/>
      </c>
      <c r="M270" s="3"/>
    </row>
    <row r="271" customFormat="false" ht="15" hidden="false" customHeight="false" outlineLevel="0" collapsed="false">
      <c r="A271" s="2"/>
      <c r="B271" s="3"/>
      <c r="C271" s="3"/>
      <c r="D271" s="3"/>
      <c r="E271" s="4"/>
      <c r="F271" s="4"/>
      <c r="G271" s="4"/>
      <c r="H271" s="5" t="str">
        <f aca="false">IF(E271="","",ROUND(E271*Réglages!$B$3,2))</f>
        <v/>
      </c>
      <c r="I271" s="5" t="str">
        <f aca="false">IF(E271="","",ROUND(E271*Réglages!$B$4,2))</f>
        <v/>
      </c>
      <c r="J271" s="5" t="str">
        <f aca="false">IF(E271="","",F271+G271+H271+I271)</f>
        <v/>
      </c>
      <c r="K271" s="5" t="str">
        <f aca="false">IF(E271="","",E271-J271)</f>
        <v/>
      </c>
      <c r="L271" s="6" t="str">
        <f aca="false">IF(A271="","",DATE(YEAR(A271),MONTH(A271),1))</f>
        <v/>
      </c>
      <c r="M271" s="3"/>
    </row>
    <row r="272" customFormat="false" ht="15" hidden="false" customHeight="false" outlineLevel="0" collapsed="false">
      <c r="A272" s="2"/>
      <c r="B272" s="3"/>
      <c r="C272" s="3"/>
      <c r="D272" s="3"/>
      <c r="E272" s="4"/>
      <c r="F272" s="4"/>
      <c r="G272" s="4"/>
      <c r="H272" s="5" t="str">
        <f aca="false">IF(E272="","",ROUND(E272*Réglages!$B$3,2))</f>
        <v/>
      </c>
      <c r="I272" s="5" t="str">
        <f aca="false">IF(E272="","",ROUND(E272*Réglages!$B$4,2))</f>
        <v/>
      </c>
      <c r="J272" s="5" t="str">
        <f aca="false">IF(E272="","",F272+G272+H272+I272)</f>
        <v/>
      </c>
      <c r="K272" s="5" t="str">
        <f aca="false">IF(E272="","",E272-J272)</f>
        <v/>
      </c>
      <c r="L272" s="6" t="str">
        <f aca="false">IF(A272="","",DATE(YEAR(A272),MONTH(A272),1))</f>
        <v/>
      </c>
      <c r="M272" s="3"/>
    </row>
    <row r="273" customFormat="false" ht="15" hidden="false" customHeight="false" outlineLevel="0" collapsed="false">
      <c r="A273" s="2"/>
      <c r="B273" s="3"/>
      <c r="C273" s="3"/>
      <c r="D273" s="3"/>
      <c r="E273" s="4"/>
      <c r="F273" s="4"/>
      <c r="G273" s="4"/>
      <c r="H273" s="5" t="str">
        <f aca="false">IF(E273="","",ROUND(E273*Réglages!$B$3,2))</f>
        <v/>
      </c>
      <c r="I273" s="5" t="str">
        <f aca="false">IF(E273="","",ROUND(E273*Réglages!$B$4,2))</f>
        <v/>
      </c>
      <c r="J273" s="5" t="str">
        <f aca="false">IF(E273="","",F273+G273+H273+I273)</f>
        <v/>
      </c>
      <c r="K273" s="5" t="str">
        <f aca="false">IF(E273="","",E273-J273)</f>
        <v/>
      </c>
      <c r="L273" s="6" t="str">
        <f aca="false">IF(A273="","",DATE(YEAR(A273),MONTH(A273),1))</f>
        <v/>
      </c>
      <c r="M273" s="3"/>
    </row>
    <row r="274" customFormat="false" ht="15" hidden="false" customHeight="false" outlineLevel="0" collapsed="false">
      <c r="A274" s="2"/>
      <c r="B274" s="3"/>
      <c r="C274" s="3"/>
      <c r="D274" s="3"/>
      <c r="E274" s="4"/>
      <c r="F274" s="4"/>
      <c r="G274" s="4"/>
      <c r="H274" s="5" t="str">
        <f aca="false">IF(E274="","",ROUND(E274*Réglages!$B$3,2))</f>
        <v/>
      </c>
      <c r="I274" s="5" t="str">
        <f aca="false">IF(E274="","",ROUND(E274*Réglages!$B$4,2))</f>
        <v/>
      </c>
      <c r="J274" s="5" t="str">
        <f aca="false">IF(E274="","",F274+G274+H274+I274)</f>
        <v/>
      </c>
      <c r="K274" s="5" t="str">
        <f aca="false">IF(E274="","",E274-J274)</f>
        <v/>
      </c>
      <c r="L274" s="6" t="str">
        <f aca="false">IF(A274="","",DATE(YEAR(A274),MONTH(A274),1))</f>
        <v/>
      </c>
      <c r="M274" s="3"/>
    </row>
    <row r="275" customFormat="false" ht="15" hidden="false" customHeight="false" outlineLevel="0" collapsed="false">
      <c r="A275" s="2"/>
      <c r="B275" s="3"/>
      <c r="C275" s="3"/>
      <c r="D275" s="3"/>
      <c r="E275" s="4"/>
      <c r="F275" s="4"/>
      <c r="G275" s="4"/>
      <c r="H275" s="5" t="str">
        <f aca="false">IF(E275="","",ROUND(E275*Réglages!$B$3,2))</f>
        <v/>
      </c>
      <c r="I275" s="5" t="str">
        <f aca="false">IF(E275="","",ROUND(E275*Réglages!$B$4,2))</f>
        <v/>
      </c>
      <c r="J275" s="5" t="str">
        <f aca="false">IF(E275="","",F275+G275+H275+I275)</f>
        <v/>
      </c>
      <c r="K275" s="5" t="str">
        <f aca="false">IF(E275="","",E275-J275)</f>
        <v/>
      </c>
      <c r="L275" s="6" t="str">
        <f aca="false">IF(A275="","",DATE(YEAR(A275),MONTH(A275),1))</f>
        <v/>
      </c>
      <c r="M275" s="3"/>
    </row>
    <row r="276" customFormat="false" ht="15" hidden="false" customHeight="false" outlineLevel="0" collapsed="false">
      <c r="A276" s="2"/>
      <c r="B276" s="3"/>
      <c r="C276" s="3"/>
      <c r="D276" s="3"/>
      <c r="E276" s="4"/>
      <c r="F276" s="4"/>
      <c r="G276" s="4"/>
      <c r="H276" s="5" t="str">
        <f aca="false">IF(E276="","",ROUND(E276*Réglages!$B$3,2))</f>
        <v/>
      </c>
      <c r="I276" s="5" t="str">
        <f aca="false">IF(E276="","",ROUND(E276*Réglages!$B$4,2))</f>
        <v/>
      </c>
      <c r="J276" s="5" t="str">
        <f aca="false">IF(E276="","",F276+G276+H276+I276)</f>
        <v/>
      </c>
      <c r="K276" s="5" t="str">
        <f aca="false">IF(E276="","",E276-J276)</f>
        <v/>
      </c>
      <c r="L276" s="6" t="str">
        <f aca="false">IF(A276="","",DATE(YEAR(A276),MONTH(A276),1))</f>
        <v/>
      </c>
      <c r="M276" s="3"/>
    </row>
    <row r="277" customFormat="false" ht="15" hidden="false" customHeight="false" outlineLevel="0" collapsed="false">
      <c r="A277" s="2"/>
      <c r="B277" s="3"/>
      <c r="C277" s="3"/>
      <c r="D277" s="3"/>
      <c r="E277" s="4"/>
      <c r="F277" s="4"/>
      <c r="G277" s="4"/>
      <c r="H277" s="5" t="str">
        <f aca="false">IF(E277="","",ROUND(E277*Réglages!$B$3,2))</f>
        <v/>
      </c>
      <c r="I277" s="5" t="str">
        <f aca="false">IF(E277="","",ROUND(E277*Réglages!$B$4,2))</f>
        <v/>
      </c>
      <c r="J277" s="5" t="str">
        <f aca="false">IF(E277="","",F277+G277+H277+I277)</f>
        <v/>
      </c>
      <c r="K277" s="5" t="str">
        <f aca="false">IF(E277="","",E277-J277)</f>
        <v/>
      </c>
      <c r="L277" s="6" t="str">
        <f aca="false">IF(A277="","",DATE(YEAR(A277),MONTH(A277),1))</f>
        <v/>
      </c>
      <c r="M277" s="3"/>
    </row>
    <row r="278" customFormat="false" ht="15" hidden="false" customHeight="false" outlineLevel="0" collapsed="false">
      <c r="A278" s="2"/>
      <c r="B278" s="3"/>
      <c r="C278" s="3"/>
      <c r="D278" s="3"/>
      <c r="E278" s="4"/>
      <c r="F278" s="4"/>
      <c r="G278" s="4"/>
      <c r="H278" s="5" t="str">
        <f aca="false">IF(E278="","",ROUND(E278*Réglages!$B$3,2))</f>
        <v/>
      </c>
      <c r="I278" s="5" t="str">
        <f aca="false">IF(E278="","",ROUND(E278*Réglages!$B$4,2))</f>
        <v/>
      </c>
      <c r="J278" s="5" t="str">
        <f aca="false">IF(E278="","",F278+G278+H278+I278)</f>
        <v/>
      </c>
      <c r="K278" s="5" t="str">
        <f aca="false">IF(E278="","",E278-J278)</f>
        <v/>
      </c>
      <c r="L278" s="6" t="str">
        <f aca="false">IF(A278="","",DATE(YEAR(A278),MONTH(A278),1))</f>
        <v/>
      </c>
      <c r="M278" s="3"/>
    </row>
    <row r="279" customFormat="false" ht="15" hidden="false" customHeight="false" outlineLevel="0" collapsed="false">
      <c r="A279" s="2"/>
      <c r="B279" s="3"/>
      <c r="C279" s="3"/>
      <c r="D279" s="3"/>
      <c r="E279" s="4"/>
      <c r="F279" s="4"/>
      <c r="G279" s="4"/>
      <c r="H279" s="5" t="str">
        <f aca="false">IF(E279="","",ROUND(E279*Réglages!$B$3,2))</f>
        <v/>
      </c>
      <c r="I279" s="5" t="str">
        <f aca="false">IF(E279="","",ROUND(E279*Réglages!$B$4,2))</f>
        <v/>
      </c>
      <c r="J279" s="5" t="str">
        <f aca="false">IF(E279="","",F279+G279+H279+I279)</f>
        <v/>
      </c>
      <c r="K279" s="5" t="str">
        <f aca="false">IF(E279="","",E279-J279)</f>
        <v/>
      </c>
      <c r="L279" s="6" t="str">
        <f aca="false">IF(A279="","",DATE(YEAR(A279),MONTH(A279),1))</f>
        <v/>
      </c>
      <c r="M279" s="3"/>
    </row>
    <row r="280" customFormat="false" ht="15" hidden="false" customHeight="false" outlineLevel="0" collapsed="false">
      <c r="A280" s="2"/>
      <c r="B280" s="3"/>
      <c r="C280" s="3"/>
      <c r="D280" s="3"/>
      <c r="E280" s="4"/>
      <c r="F280" s="4"/>
      <c r="G280" s="4"/>
      <c r="H280" s="5" t="str">
        <f aca="false">IF(E280="","",ROUND(E280*Réglages!$B$3,2))</f>
        <v/>
      </c>
      <c r="I280" s="5" t="str">
        <f aca="false">IF(E280="","",ROUND(E280*Réglages!$B$4,2))</f>
        <v/>
      </c>
      <c r="J280" s="5" t="str">
        <f aca="false">IF(E280="","",F280+G280+H280+I280)</f>
        <v/>
      </c>
      <c r="K280" s="5" t="str">
        <f aca="false">IF(E280="","",E280-J280)</f>
        <v/>
      </c>
      <c r="L280" s="6" t="str">
        <f aca="false">IF(A280="","",DATE(YEAR(A280),MONTH(A280),1))</f>
        <v/>
      </c>
      <c r="M280" s="3"/>
    </row>
    <row r="281" customFormat="false" ht="15" hidden="false" customHeight="false" outlineLevel="0" collapsed="false">
      <c r="A281" s="2"/>
      <c r="B281" s="3"/>
      <c r="C281" s="3"/>
      <c r="D281" s="3"/>
      <c r="E281" s="4"/>
      <c r="F281" s="4"/>
      <c r="G281" s="4"/>
      <c r="H281" s="5" t="str">
        <f aca="false">IF(E281="","",ROUND(E281*Réglages!$B$3,2))</f>
        <v/>
      </c>
      <c r="I281" s="5" t="str">
        <f aca="false">IF(E281="","",ROUND(E281*Réglages!$B$4,2))</f>
        <v/>
      </c>
      <c r="J281" s="5" t="str">
        <f aca="false">IF(E281="","",F281+G281+H281+I281)</f>
        <v/>
      </c>
      <c r="K281" s="5" t="str">
        <f aca="false">IF(E281="","",E281-J281)</f>
        <v/>
      </c>
      <c r="L281" s="6" t="str">
        <f aca="false">IF(A281="","",DATE(YEAR(A281),MONTH(A281),1))</f>
        <v/>
      </c>
      <c r="M281" s="3"/>
    </row>
    <row r="282" customFormat="false" ht="15" hidden="false" customHeight="false" outlineLevel="0" collapsed="false">
      <c r="A282" s="2"/>
      <c r="B282" s="3"/>
      <c r="C282" s="3"/>
      <c r="D282" s="3"/>
      <c r="E282" s="4"/>
      <c r="F282" s="4"/>
      <c r="G282" s="4"/>
      <c r="H282" s="5" t="str">
        <f aca="false">IF(E282="","",ROUND(E282*Réglages!$B$3,2))</f>
        <v/>
      </c>
      <c r="I282" s="5" t="str">
        <f aca="false">IF(E282="","",ROUND(E282*Réglages!$B$4,2))</f>
        <v/>
      </c>
      <c r="J282" s="5" t="str">
        <f aca="false">IF(E282="","",F282+G282+H282+I282)</f>
        <v/>
      </c>
      <c r="K282" s="5" t="str">
        <f aca="false">IF(E282="","",E282-J282)</f>
        <v/>
      </c>
      <c r="L282" s="6" t="str">
        <f aca="false">IF(A282="","",DATE(YEAR(A282),MONTH(A282),1))</f>
        <v/>
      </c>
      <c r="M282" s="3"/>
    </row>
    <row r="283" customFormat="false" ht="15" hidden="false" customHeight="false" outlineLevel="0" collapsed="false">
      <c r="A283" s="2"/>
      <c r="B283" s="3"/>
      <c r="C283" s="3"/>
      <c r="D283" s="3"/>
      <c r="E283" s="4"/>
      <c r="F283" s="4"/>
      <c r="G283" s="4"/>
      <c r="H283" s="5" t="str">
        <f aca="false">IF(E283="","",ROUND(E283*Réglages!$B$3,2))</f>
        <v/>
      </c>
      <c r="I283" s="5" t="str">
        <f aca="false">IF(E283="","",ROUND(E283*Réglages!$B$4,2))</f>
        <v/>
      </c>
      <c r="J283" s="5" t="str">
        <f aca="false">IF(E283="","",F283+G283+H283+I283)</f>
        <v/>
      </c>
      <c r="K283" s="5" t="str">
        <f aca="false">IF(E283="","",E283-J283)</f>
        <v/>
      </c>
      <c r="L283" s="6" t="str">
        <f aca="false">IF(A283="","",DATE(YEAR(A283),MONTH(A283),1))</f>
        <v/>
      </c>
      <c r="M283" s="3"/>
    </row>
    <row r="284" customFormat="false" ht="15" hidden="false" customHeight="false" outlineLevel="0" collapsed="false">
      <c r="A284" s="2"/>
      <c r="B284" s="3"/>
      <c r="C284" s="3"/>
      <c r="D284" s="3"/>
      <c r="E284" s="4"/>
      <c r="F284" s="4"/>
      <c r="G284" s="4"/>
      <c r="H284" s="5" t="str">
        <f aca="false">IF(E284="","",ROUND(E284*Réglages!$B$3,2))</f>
        <v/>
      </c>
      <c r="I284" s="5" t="str">
        <f aca="false">IF(E284="","",ROUND(E284*Réglages!$B$4,2))</f>
        <v/>
      </c>
      <c r="J284" s="5" t="str">
        <f aca="false">IF(E284="","",F284+G284+H284+I284)</f>
        <v/>
      </c>
      <c r="K284" s="5" t="str">
        <f aca="false">IF(E284="","",E284-J284)</f>
        <v/>
      </c>
      <c r="L284" s="6" t="str">
        <f aca="false">IF(A284="","",DATE(YEAR(A284),MONTH(A284),1))</f>
        <v/>
      </c>
      <c r="M284" s="3"/>
    </row>
    <row r="285" customFormat="false" ht="15" hidden="false" customHeight="false" outlineLevel="0" collapsed="false">
      <c r="A285" s="2"/>
      <c r="B285" s="3"/>
      <c r="C285" s="3"/>
      <c r="D285" s="3"/>
      <c r="E285" s="4"/>
      <c r="F285" s="4"/>
      <c r="G285" s="4"/>
      <c r="H285" s="5" t="str">
        <f aca="false">IF(E285="","",ROUND(E285*Réglages!$B$3,2))</f>
        <v/>
      </c>
      <c r="I285" s="5" t="str">
        <f aca="false">IF(E285="","",ROUND(E285*Réglages!$B$4,2))</f>
        <v/>
      </c>
      <c r="J285" s="5" t="str">
        <f aca="false">IF(E285="","",F285+G285+H285+I285)</f>
        <v/>
      </c>
      <c r="K285" s="5" t="str">
        <f aca="false">IF(E285="","",E285-J285)</f>
        <v/>
      </c>
      <c r="L285" s="6" t="str">
        <f aca="false">IF(A285="","",DATE(YEAR(A285),MONTH(A285),1))</f>
        <v/>
      </c>
      <c r="M285" s="3"/>
    </row>
    <row r="286" customFormat="false" ht="15" hidden="false" customHeight="false" outlineLevel="0" collapsed="false">
      <c r="A286" s="2"/>
      <c r="B286" s="3"/>
      <c r="C286" s="3"/>
      <c r="D286" s="3"/>
      <c r="E286" s="4"/>
      <c r="F286" s="4"/>
      <c r="G286" s="4"/>
      <c r="H286" s="5" t="str">
        <f aca="false">IF(E286="","",ROUND(E286*Réglages!$B$3,2))</f>
        <v/>
      </c>
      <c r="I286" s="5" t="str">
        <f aca="false">IF(E286="","",ROUND(E286*Réglages!$B$4,2))</f>
        <v/>
      </c>
      <c r="J286" s="5" t="str">
        <f aca="false">IF(E286="","",F286+G286+H286+I286)</f>
        <v/>
      </c>
      <c r="K286" s="5" t="str">
        <f aca="false">IF(E286="","",E286-J286)</f>
        <v/>
      </c>
      <c r="L286" s="6" t="str">
        <f aca="false">IF(A286="","",DATE(YEAR(A286),MONTH(A286),1))</f>
        <v/>
      </c>
      <c r="M286" s="3"/>
    </row>
    <row r="287" customFormat="false" ht="15" hidden="false" customHeight="false" outlineLevel="0" collapsed="false">
      <c r="A287" s="2"/>
      <c r="B287" s="3"/>
      <c r="C287" s="3"/>
      <c r="D287" s="3"/>
      <c r="E287" s="4"/>
      <c r="F287" s="4"/>
      <c r="G287" s="4"/>
      <c r="H287" s="5" t="str">
        <f aca="false">IF(E287="","",ROUND(E287*Réglages!$B$3,2))</f>
        <v/>
      </c>
      <c r="I287" s="5" t="str">
        <f aca="false">IF(E287="","",ROUND(E287*Réglages!$B$4,2))</f>
        <v/>
      </c>
      <c r="J287" s="5" t="str">
        <f aca="false">IF(E287="","",F287+G287+H287+I287)</f>
        <v/>
      </c>
      <c r="K287" s="5" t="str">
        <f aca="false">IF(E287="","",E287-J287)</f>
        <v/>
      </c>
      <c r="L287" s="6" t="str">
        <f aca="false">IF(A287="","",DATE(YEAR(A287),MONTH(A287),1))</f>
        <v/>
      </c>
      <c r="M287" s="3"/>
    </row>
    <row r="288" customFormat="false" ht="15" hidden="false" customHeight="false" outlineLevel="0" collapsed="false">
      <c r="A288" s="2"/>
      <c r="B288" s="3"/>
      <c r="C288" s="3"/>
      <c r="D288" s="3"/>
      <c r="E288" s="4"/>
      <c r="F288" s="4"/>
      <c r="G288" s="4"/>
      <c r="H288" s="5" t="str">
        <f aca="false">IF(E288="","",ROUND(E288*Réglages!$B$3,2))</f>
        <v/>
      </c>
      <c r="I288" s="5" t="str">
        <f aca="false">IF(E288="","",ROUND(E288*Réglages!$B$4,2))</f>
        <v/>
      </c>
      <c r="J288" s="5" t="str">
        <f aca="false">IF(E288="","",F288+G288+H288+I288)</f>
        <v/>
      </c>
      <c r="K288" s="5" t="str">
        <f aca="false">IF(E288="","",E288-J288)</f>
        <v/>
      </c>
      <c r="L288" s="6" t="str">
        <f aca="false">IF(A288="","",DATE(YEAR(A288),MONTH(A288),1))</f>
        <v/>
      </c>
      <c r="M288" s="3"/>
    </row>
    <row r="289" customFormat="false" ht="15" hidden="false" customHeight="false" outlineLevel="0" collapsed="false">
      <c r="A289" s="2"/>
      <c r="B289" s="3"/>
      <c r="C289" s="3"/>
      <c r="D289" s="3"/>
      <c r="E289" s="4"/>
      <c r="F289" s="4"/>
      <c r="G289" s="4"/>
      <c r="H289" s="5" t="str">
        <f aca="false">IF(E289="","",ROUND(E289*Réglages!$B$3,2))</f>
        <v/>
      </c>
      <c r="I289" s="5" t="str">
        <f aca="false">IF(E289="","",ROUND(E289*Réglages!$B$4,2))</f>
        <v/>
      </c>
      <c r="J289" s="5" t="str">
        <f aca="false">IF(E289="","",F289+G289+H289+I289)</f>
        <v/>
      </c>
      <c r="K289" s="5" t="str">
        <f aca="false">IF(E289="","",E289-J289)</f>
        <v/>
      </c>
      <c r="L289" s="6" t="str">
        <f aca="false">IF(A289="","",DATE(YEAR(A289),MONTH(A289),1))</f>
        <v/>
      </c>
      <c r="M289" s="3"/>
    </row>
    <row r="290" customFormat="false" ht="15" hidden="false" customHeight="false" outlineLevel="0" collapsed="false">
      <c r="A290" s="2"/>
      <c r="B290" s="3"/>
      <c r="C290" s="3"/>
      <c r="D290" s="3"/>
      <c r="E290" s="4"/>
      <c r="F290" s="4"/>
      <c r="G290" s="4"/>
      <c r="H290" s="5" t="str">
        <f aca="false">IF(E290="","",ROUND(E290*Réglages!$B$3,2))</f>
        <v/>
      </c>
      <c r="I290" s="5" t="str">
        <f aca="false">IF(E290="","",ROUND(E290*Réglages!$B$4,2))</f>
        <v/>
      </c>
      <c r="J290" s="5" t="str">
        <f aca="false">IF(E290="","",F290+G290+H290+I290)</f>
        <v/>
      </c>
      <c r="K290" s="5" t="str">
        <f aca="false">IF(E290="","",E290-J290)</f>
        <v/>
      </c>
      <c r="L290" s="6" t="str">
        <f aca="false">IF(A290="","",DATE(YEAR(A290),MONTH(A290),1))</f>
        <v/>
      </c>
      <c r="M290" s="3"/>
    </row>
    <row r="291" customFormat="false" ht="15" hidden="false" customHeight="false" outlineLevel="0" collapsed="false">
      <c r="A291" s="2"/>
      <c r="B291" s="3"/>
      <c r="C291" s="3"/>
      <c r="D291" s="3"/>
      <c r="E291" s="4"/>
      <c r="F291" s="4"/>
      <c r="G291" s="4"/>
      <c r="H291" s="5" t="str">
        <f aca="false">IF(E291="","",ROUND(E291*Réglages!$B$3,2))</f>
        <v/>
      </c>
      <c r="I291" s="5" t="str">
        <f aca="false">IF(E291="","",ROUND(E291*Réglages!$B$4,2))</f>
        <v/>
      </c>
      <c r="J291" s="5" t="str">
        <f aca="false">IF(E291="","",F291+G291+H291+I291)</f>
        <v/>
      </c>
      <c r="K291" s="5" t="str">
        <f aca="false">IF(E291="","",E291-J291)</f>
        <v/>
      </c>
      <c r="L291" s="6" t="str">
        <f aca="false">IF(A291="","",DATE(YEAR(A291),MONTH(A291),1))</f>
        <v/>
      </c>
      <c r="M291" s="3"/>
    </row>
    <row r="292" customFormat="false" ht="15" hidden="false" customHeight="false" outlineLevel="0" collapsed="false">
      <c r="A292" s="2"/>
      <c r="B292" s="3"/>
      <c r="C292" s="3"/>
      <c r="D292" s="3"/>
      <c r="E292" s="4"/>
      <c r="F292" s="4"/>
      <c r="G292" s="4"/>
      <c r="H292" s="5" t="str">
        <f aca="false">IF(E292="","",ROUND(E292*Réglages!$B$3,2))</f>
        <v/>
      </c>
      <c r="I292" s="5" t="str">
        <f aca="false">IF(E292="","",ROUND(E292*Réglages!$B$4,2))</f>
        <v/>
      </c>
      <c r="J292" s="5" t="str">
        <f aca="false">IF(E292="","",F292+G292+H292+I292)</f>
        <v/>
      </c>
      <c r="K292" s="5" t="str">
        <f aca="false">IF(E292="","",E292-J292)</f>
        <v/>
      </c>
      <c r="L292" s="6" t="str">
        <f aca="false">IF(A292="","",DATE(YEAR(A292),MONTH(A292),1))</f>
        <v/>
      </c>
      <c r="M292" s="3"/>
    </row>
    <row r="293" customFormat="false" ht="15" hidden="false" customHeight="false" outlineLevel="0" collapsed="false">
      <c r="A293" s="2"/>
      <c r="B293" s="3"/>
      <c r="C293" s="3"/>
      <c r="D293" s="3"/>
      <c r="E293" s="4"/>
      <c r="F293" s="4"/>
      <c r="G293" s="4"/>
      <c r="H293" s="5" t="str">
        <f aca="false">IF(E293="","",ROUND(E293*Réglages!$B$3,2))</f>
        <v/>
      </c>
      <c r="I293" s="5" t="str">
        <f aca="false">IF(E293="","",ROUND(E293*Réglages!$B$4,2))</f>
        <v/>
      </c>
      <c r="J293" s="5" t="str">
        <f aca="false">IF(E293="","",F293+G293+H293+I293)</f>
        <v/>
      </c>
      <c r="K293" s="5" t="str">
        <f aca="false">IF(E293="","",E293-J293)</f>
        <v/>
      </c>
      <c r="L293" s="6" t="str">
        <f aca="false">IF(A293="","",DATE(YEAR(A293),MONTH(A293),1))</f>
        <v/>
      </c>
      <c r="M293" s="3"/>
    </row>
    <row r="294" customFormat="false" ht="15" hidden="false" customHeight="false" outlineLevel="0" collapsed="false">
      <c r="A294" s="2"/>
      <c r="B294" s="3"/>
      <c r="C294" s="3"/>
      <c r="D294" s="3"/>
      <c r="E294" s="4"/>
      <c r="F294" s="4"/>
      <c r="G294" s="4"/>
      <c r="H294" s="5" t="str">
        <f aca="false">IF(E294="","",ROUND(E294*Réglages!$B$3,2))</f>
        <v/>
      </c>
      <c r="I294" s="5" t="str">
        <f aca="false">IF(E294="","",ROUND(E294*Réglages!$B$4,2))</f>
        <v/>
      </c>
      <c r="J294" s="5" t="str">
        <f aca="false">IF(E294="","",F294+G294+H294+I294)</f>
        <v/>
      </c>
      <c r="K294" s="5" t="str">
        <f aca="false">IF(E294="","",E294-J294)</f>
        <v/>
      </c>
      <c r="L294" s="6" t="str">
        <f aca="false">IF(A294="","",DATE(YEAR(A294),MONTH(A294),1))</f>
        <v/>
      </c>
      <c r="M294" s="3"/>
    </row>
    <row r="295" customFormat="false" ht="15" hidden="false" customHeight="false" outlineLevel="0" collapsed="false">
      <c r="A295" s="2"/>
      <c r="B295" s="3"/>
      <c r="C295" s="3"/>
      <c r="D295" s="3"/>
      <c r="E295" s="4"/>
      <c r="F295" s="4"/>
      <c r="G295" s="4"/>
      <c r="H295" s="5" t="str">
        <f aca="false">IF(E295="","",ROUND(E295*Réglages!$B$3,2))</f>
        <v/>
      </c>
      <c r="I295" s="5" t="str">
        <f aca="false">IF(E295="","",ROUND(E295*Réglages!$B$4,2))</f>
        <v/>
      </c>
      <c r="J295" s="5" t="str">
        <f aca="false">IF(E295="","",F295+G295+H295+I295)</f>
        <v/>
      </c>
      <c r="K295" s="5" t="str">
        <f aca="false">IF(E295="","",E295-J295)</f>
        <v/>
      </c>
      <c r="L295" s="6" t="str">
        <f aca="false">IF(A295="","",DATE(YEAR(A295),MONTH(A295),1))</f>
        <v/>
      </c>
      <c r="M295" s="3"/>
    </row>
    <row r="296" customFormat="false" ht="15" hidden="false" customHeight="false" outlineLevel="0" collapsed="false">
      <c r="A296" s="2"/>
      <c r="B296" s="3"/>
      <c r="C296" s="3"/>
      <c r="D296" s="3"/>
      <c r="E296" s="4"/>
      <c r="F296" s="4"/>
      <c r="G296" s="4"/>
      <c r="H296" s="5" t="str">
        <f aca="false">IF(E296="","",ROUND(E296*Réglages!$B$3,2))</f>
        <v/>
      </c>
      <c r="I296" s="5" t="str">
        <f aca="false">IF(E296="","",ROUND(E296*Réglages!$B$4,2))</f>
        <v/>
      </c>
      <c r="J296" s="5" t="str">
        <f aca="false">IF(E296="","",F296+G296+H296+I296)</f>
        <v/>
      </c>
      <c r="K296" s="5" t="str">
        <f aca="false">IF(E296="","",E296-J296)</f>
        <v/>
      </c>
      <c r="L296" s="6" t="str">
        <f aca="false">IF(A296="","",DATE(YEAR(A296),MONTH(A296),1))</f>
        <v/>
      </c>
      <c r="M296" s="3"/>
    </row>
    <row r="297" customFormat="false" ht="15" hidden="false" customHeight="false" outlineLevel="0" collapsed="false">
      <c r="A297" s="2"/>
      <c r="B297" s="3"/>
      <c r="C297" s="3"/>
      <c r="D297" s="3"/>
      <c r="E297" s="4"/>
      <c r="F297" s="4"/>
      <c r="G297" s="4"/>
      <c r="H297" s="5" t="str">
        <f aca="false">IF(E297="","",ROUND(E297*Réglages!$B$3,2))</f>
        <v/>
      </c>
      <c r="I297" s="5" t="str">
        <f aca="false">IF(E297="","",ROUND(E297*Réglages!$B$4,2))</f>
        <v/>
      </c>
      <c r="J297" s="5" t="str">
        <f aca="false">IF(E297="","",F297+G297+H297+I297)</f>
        <v/>
      </c>
      <c r="K297" s="5" t="str">
        <f aca="false">IF(E297="","",E297-J297)</f>
        <v/>
      </c>
      <c r="L297" s="6" t="str">
        <f aca="false">IF(A297="","",DATE(YEAR(A297),MONTH(A297),1))</f>
        <v/>
      </c>
      <c r="M297" s="3"/>
    </row>
    <row r="298" customFormat="false" ht="15" hidden="false" customHeight="false" outlineLevel="0" collapsed="false">
      <c r="A298" s="2"/>
      <c r="B298" s="3"/>
      <c r="C298" s="3"/>
      <c r="D298" s="3"/>
      <c r="E298" s="4"/>
      <c r="F298" s="4"/>
      <c r="G298" s="4"/>
      <c r="H298" s="5" t="str">
        <f aca="false">IF(E298="","",ROUND(E298*Réglages!$B$3,2))</f>
        <v/>
      </c>
      <c r="I298" s="5" t="str">
        <f aca="false">IF(E298="","",ROUND(E298*Réglages!$B$4,2))</f>
        <v/>
      </c>
      <c r="J298" s="5" t="str">
        <f aca="false">IF(E298="","",F298+G298+H298+I298)</f>
        <v/>
      </c>
      <c r="K298" s="5" t="str">
        <f aca="false">IF(E298="","",E298-J298)</f>
        <v/>
      </c>
      <c r="L298" s="6" t="str">
        <f aca="false">IF(A298="","",DATE(YEAR(A298),MONTH(A298),1))</f>
        <v/>
      </c>
      <c r="M298" s="3"/>
    </row>
    <row r="299" customFormat="false" ht="15" hidden="false" customHeight="false" outlineLevel="0" collapsed="false">
      <c r="A299" s="2"/>
      <c r="B299" s="3"/>
      <c r="C299" s="3"/>
      <c r="D299" s="3"/>
      <c r="E299" s="4"/>
      <c r="F299" s="4"/>
      <c r="G299" s="4"/>
      <c r="H299" s="5" t="str">
        <f aca="false">IF(E299="","",ROUND(E299*Réglages!$B$3,2))</f>
        <v/>
      </c>
      <c r="I299" s="5" t="str">
        <f aca="false">IF(E299="","",ROUND(E299*Réglages!$B$4,2))</f>
        <v/>
      </c>
      <c r="J299" s="5" t="str">
        <f aca="false">IF(E299="","",F299+G299+H299+I299)</f>
        <v/>
      </c>
      <c r="K299" s="5" t="str">
        <f aca="false">IF(E299="","",E299-J299)</f>
        <v/>
      </c>
      <c r="L299" s="6" t="str">
        <f aca="false">IF(A299="","",DATE(YEAR(A299),MONTH(A299),1))</f>
        <v/>
      </c>
      <c r="M299" s="3"/>
    </row>
    <row r="300" customFormat="false" ht="15" hidden="false" customHeight="false" outlineLevel="0" collapsed="false">
      <c r="A300" s="2"/>
      <c r="B300" s="3"/>
      <c r="C300" s="3"/>
      <c r="D300" s="3"/>
      <c r="E300" s="4"/>
      <c r="F300" s="4"/>
      <c r="G300" s="4"/>
      <c r="H300" s="5" t="str">
        <f aca="false">IF(E300="","",ROUND(E300*Réglages!$B$3,2))</f>
        <v/>
      </c>
      <c r="I300" s="5" t="str">
        <f aca="false">IF(E300="","",ROUND(E300*Réglages!$B$4,2))</f>
        <v/>
      </c>
      <c r="J300" s="5" t="str">
        <f aca="false">IF(E300="","",F300+G300+H300+I300)</f>
        <v/>
      </c>
      <c r="K300" s="5" t="str">
        <f aca="false">IF(E300="","",E300-J300)</f>
        <v/>
      </c>
      <c r="L300" s="6" t="str">
        <f aca="false">IF(A300="","",DATE(YEAR(A300),MONTH(A300),1))</f>
        <v/>
      </c>
      <c r="M300" s="3"/>
    </row>
    <row r="301" customFormat="false" ht="15" hidden="false" customHeight="false" outlineLevel="0" collapsed="false">
      <c r="A301" s="2"/>
      <c r="B301" s="3"/>
      <c r="C301" s="3"/>
      <c r="D301" s="3"/>
      <c r="E301" s="4"/>
      <c r="F301" s="4"/>
      <c r="G301" s="4"/>
      <c r="H301" s="5" t="str">
        <f aca="false">IF(E301="","",ROUND(E301*Réglages!$B$3,2))</f>
        <v/>
      </c>
      <c r="I301" s="5" t="str">
        <f aca="false">IF(E301="","",ROUND(E301*Réglages!$B$4,2))</f>
        <v/>
      </c>
      <c r="J301" s="5" t="str">
        <f aca="false">IF(E301="","",F301+G301+H301+I301)</f>
        <v/>
      </c>
      <c r="K301" s="5" t="str">
        <f aca="false">IF(E301="","",E301-J301)</f>
        <v/>
      </c>
      <c r="L301" s="6" t="str">
        <f aca="false">IF(A301="","",DATE(YEAR(A301),MONTH(A301),1))</f>
        <v/>
      </c>
      <c r="M301" s="3"/>
    </row>
  </sheetData>
  <dataValidations count="1">
    <dataValidation allowBlank="true" errorStyle="stop" operator="between" showDropDown="false" showErrorMessage="false" showInputMessage="false" sqref="D2:D301" type="list">
      <formula1>"France,Belgique,Suisse,Luxembourg,Allemagne,Autre 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7" t="s">
        <v>17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18</v>
      </c>
    </row>
    <row r="4" customFormat="false" ht="15" hidden="false" customHeight="false" outlineLevel="0" collapsed="false">
      <c r="A4" s="8" t="s">
        <v>19</v>
      </c>
    </row>
    <row r="5" customFormat="false" ht="15" hidden="false" customHeight="false" outlineLevel="0" collapsed="false">
      <c r="A5" s="8" t="s">
        <v>20</v>
      </c>
    </row>
    <row r="6" customFormat="false" ht="15" hidden="false" customHeight="false" outlineLevel="0" collapsed="false">
      <c r="A6" s="8" t="s">
        <v>21</v>
      </c>
    </row>
    <row r="7" customFormat="false" ht="15" hidden="false" customHeight="false" outlineLevel="0" collapsed="false">
      <c r="A7" s="8" t="s">
        <v>22</v>
      </c>
    </row>
    <row r="8" customFormat="false" ht="15" hidden="false" customHeight="false" outlineLevel="0" collapsed="false">
      <c r="A8" s="8"/>
    </row>
    <row r="9" customFormat="false" ht="15" hidden="false" customHeight="false" outlineLevel="0" collapsed="false">
      <c r="A9" s="9" t="s">
        <v>23</v>
      </c>
    </row>
    <row r="10" customFormat="false" ht="15" hidden="false" customHeight="false" outlineLevel="0" collapsed="false">
      <c r="A10" s="8" t="s">
        <v>24</v>
      </c>
    </row>
    <row r="11" customFormat="false" ht="15" hidden="false" customHeight="false" outlineLevel="0" collapsed="false">
      <c r="A11" s="8" t="s">
        <v>25</v>
      </c>
    </row>
    <row r="12" customFormat="false" ht="15" hidden="false" customHeight="false" outlineLevel="0" collapsed="false">
      <c r="A12" s="8" t="s">
        <v>26</v>
      </c>
    </row>
    <row r="13" customFormat="false" ht="15" hidden="false" customHeight="false" outlineLevel="0" collapsed="false">
      <c r="A13" s="8"/>
    </row>
    <row r="14" customFormat="false" ht="15" hidden="false" customHeight="false" outlineLevel="0" collapsed="false">
      <c r="A14" s="8" t="s">
        <v>27</v>
      </c>
    </row>
    <row r="15" customFormat="false" ht="15" hidden="false" customHeight="false" outlineLevel="0" collapsed="false">
      <c r="A15" s="8" t="s">
        <v>28</v>
      </c>
    </row>
    <row r="16" customFormat="false" ht="15" hidden="false" customHeight="false" outlineLevel="0" collapsed="false">
      <c r="A16" s="8"/>
    </row>
    <row r="17" customFormat="false" ht="15" hidden="false" customHeight="false" outlineLevel="0" collapsed="false">
      <c r="A17" s="9" t="s">
        <v>29</v>
      </c>
    </row>
    <row r="18" customFormat="false" ht="15" hidden="false" customHeight="false" outlineLevel="0" collapsed="false">
      <c r="A18" s="10" t="s">
        <v>30</v>
      </c>
    </row>
    <row r="19" customFormat="false" ht="15" hidden="false" customHeight="false" outlineLevel="0" collapsed="false">
      <c r="A19" s="8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2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1" t="s">
        <v>32</v>
      </c>
    </row>
    <row r="3" customFormat="false" ht="15" hidden="false" customHeight="false" outlineLevel="0" collapsed="false">
      <c r="A3" s="8" t="s">
        <v>33</v>
      </c>
      <c r="B3" s="12" t="n">
        <v>0.123</v>
      </c>
      <c r="C3" s="13" t="s">
        <v>34</v>
      </c>
    </row>
    <row r="4" customFormat="false" ht="15" hidden="false" customHeight="false" outlineLevel="0" collapsed="false">
      <c r="A4" s="8" t="s">
        <v>35</v>
      </c>
      <c r="B4" s="12" t="n">
        <v>0</v>
      </c>
      <c r="C4" s="13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5" min="4" style="0" width="16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31.5" hidden="false" customHeight="true" outlineLevel="0" collapsed="false">
      <c r="A1" s="1" t="s">
        <v>11</v>
      </c>
      <c r="B1" s="1" t="s">
        <v>37</v>
      </c>
      <c r="C1" s="1" t="s">
        <v>38</v>
      </c>
      <c r="D1" s="1" t="s">
        <v>39</v>
      </c>
      <c r="E1" s="1" t="s">
        <v>6</v>
      </c>
      <c r="F1" s="1" t="s">
        <v>7</v>
      </c>
      <c r="G1" s="1" t="s">
        <v>8</v>
      </c>
      <c r="H1" s="1" t="s">
        <v>10</v>
      </c>
    </row>
    <row r="2" customFormat="false" ht="15" hidden="false" customHeight="false" outlineLevel="0" collapsed="false">
      <c r="A2" s="6" t="n">
        <v>46296</v>
      </c>
      <c r="B2" s="14" t="n">
        <f aca="false">COUNTIFS(Commandes!$L$2:$L$301,A2)</f>
        <v>1</v>
      </c>
      <c r="C2" s="5" t="n">
        <f aca="false">SUMIFS(Commandes!$E$2:$E$301,Commandes!$L$2:$L$301,A2)</f>
        <v>29.99</v>
      </c>
      <c r="D2" s="5" t="n">
        <f aca="false">SUMIFS(Commandes!$F$2:$F$301,Commandes!$L$2:$L$301,A2)</f>
        <v>18.4</v>
      </c>
      <c r="E2" s="5" t="n">
        <f aca="false">SUMIFS(Commandes!$G$2:$G$301,Commandes!$L$2:$L$301,A2)</f>
        <v>0.7</v>
      </c>
      <c r="F2" s="5" t="n">
        <f aca="false">SUMIFS(Commandes!$H$2:$H$301,Commandes!$L$2:$L$301,A2)</f>
        <v>3.69</v>
      </c>
      <c r="G2" s="5" t="n">
        <f aca="false">SUMIFS(Commandes!$I$2:$I$301,Commandes!$L$2:$L$301,A2)</f>
        <v>0</v>
      </c>
      <c r="H2" s="5" t="n">
        <f aca="false">SUMIFS(Commandes!$K$2:$K$301,Commandes!$L$2:$L$301,A2)</f>
        <v>7.2</v>
      </c>
    </row>
    <row r="3" customFormat="false" ht="15" hidden="false" customHeight="false" outlineLevel="0" collapsed="false">
      <c r="A3" s="6" t="n">
        <v>46327</v>
      </c>
      <c r="B3" s="14" t="n">
        <f aca="false">COUNTIFS(Commandes!$L$2:$L$301,A3)</f>
        <v>0</v>
      </c>
      <c r="C3" s="5" t="n">
        <f aca="false">SUMIFS(Commandes!$E$2:$E$301,Commandes!$L$2:$L$301,A3)</f>
        <v>0</v>
      </c>
      <c r="D3" s="5" t="n">
        <f aca="false">SUMIFS(Commandes!$F$2:$F$301,Commandes!$L$2:$L$301,A3)</f>
        <v>0</v>
      </c>
      <c r="E3" s="5" t="n">
        <f aca="false">SUMIFS(Commandes!$G$2:$G$301,Commandes!$L$2:$L$301,A3)</f>
        <v>0</v>
      </c>
      <c r="F3" s="5" t="n">
        <f aca="false">SUMIFS(Commandes!$H$2:$H$301,Commandes!$L$2:$L$301,A3)</f>
        <v>0</v>
      </c>
      <c r="G3" s="5" t="n">
        <f aca="false">SUMIFS(Commandes!$I$2:$I$301,Commandes!$L$2:$L$301,A3)</f>
        <v>0</v>
      </c>
      <c r="H3" s="5" t="n">
        <f aca="false">SUMIFS(Commandes!$K$2:$K$301,Commandes!$L$2:$L$301,A3)</f>
        <v>0</v>
      </c>
    </row>
    <row r="4" customFormat="false" ht="15" hidden="false" customHeight="false" outlineLevel="0" collapsed="false">
      <c r="A4" s="6" t="n">
        <v>46357</v>
      </c>
      <c r="B4" s="14" t="n">
        <f aca="false">COUNTIFS(Commandes!$L$2:$L$301,A4)</f>
        <v>0</v>
      </c>
      <c r="C4" s="5" t="n">
        <f aca="false">SUMIFS(Commandes!$E$2:$E$301,Commandes!$L$2:$L$301,A4)</f>
        <v>0</v>
      </c>
      <c r="D4" s="5" t="n">
        <f aca="false">SUMIFS(Commandes!$F$2:$F$301,Commandes!$L$2:$L$301,A4)</f>
        <v>0</v>
      </c>
      <c r="E4" s="5" t="n">
        <f aca="false">SUMIFS(Commandes!$G$2:$G$301,Commandes!$L$2:$L$301,A4)</f>
        <v>0</v>
      </c>
      <c r="F4" s="5" t="n">
        <f aca="false">SUMIFS(Commandes!$H$2:$H$301,Commandes!$L$2:$L$301,A4)</f>
        <v>0</v>
      </c>
      <c r="G4" s="5" t="n">
        <f aca="false">SUMIFS(Commandes!$I$2:$I$301,Commandes!$L$2:$L$301,A4)</f>
        <v>0</v>
      </c>
      <c r="H4" s="5" t="n">
        <f aca="false">SUMIFS(Commandes!$K$2:$K$301,Commandes!$L$2:$L$301,A4)</f>
        <v>0</v>
      </c>
    </row>
    <row r="5" customFormat="false" ht="15" hidden="false" customHeight="false" outlineLevel="0" collapsed="false">
      <c r="A5" s="6" t="n">
        <v>46388</v>
      </c>
      <c r="B5" s="14" t="n">
        <f aca="false">COUNTIFS(Commandes!$L$2:$L$301,A5)</f>
        <v>0</v>
      </c>
      <c r="C5" s="5" t="n">
        <f aca="false">SUMIFS(Commandes!$E$2:$E$301,Commandes!$L$2:$L$301,A5)</f>
        <v>0</v>
      </c>
      <c r="D5" s="5" t="n">
        <f aca="false">SUMIFS(Commandes!$F$2:$F$301,Commandes!$L$2:$L$301,A5)</f>
        <v>0</v>
      </c>
      <c r="E5" s="5" t="n">
        <f aca="false">SUMIFS(Commandes!$G$2:$G$301,Commandes!$L$2:$L$301,A5)</f>
        <v>0</v>
      </c>
      <c r="F5" s="5" t="n">
        <f aca="false">SUMIFS(Commandes!$H$2:$H$301,Commandes!$L$2:$L$301,A5)</f>
        <v>0</v>
      </c>
      <c r="G5" s="5" t="n">
        <f aca="false">SUMIFS(Commandes!$I$2:$I$301,Commandes!$L$2:$L$301,A5)</f>
        <v>0</v>
      </c>
      <c r="H5" s="5" t="n">
        <f aca="false">SUMIFS(Commandes!$K$2:$K$301,Commandes!$L$2:$L$301,A5)</f>
        <v>0</v>
      </c>
    </row>
    <row r="6" customFormat="false" ht="15" hidden="false" customHeight="false" outlineLevel="0" collapsed="false">
      <c r="A6" s="6" t="n">
        <v>46419</v>
      </c>
      <c r="B6" s="14" t="n">
        <f aca="false">COUNTIFS(Commandes!$L$2:$L$301,A6)</f>
        <v>0</v>
      </c>
      <c r="C6" s="5" t="n">
        <f aca="false">SUMIFS(Commandes!$E$2:$E$301,Commandes!$L$2:$L$301,A6)</f>
        <v>0</v>
      </c>
      <c r="D6" s="5" t="n">
        <f aca="false">SUMIFS(Commandes!$F$2:$F$301,Commandes!$L$2:$L$301,A6)</f>
        <v>0</v>
      </c>
      <c r="E6" s="5" t="n">
        <f aca="false">SUMIFS(Commandes!$G$2:$G$301,Commandes!$L$2:$L$301,A6)</f>
        <v>0</v>
      </c>
      <c r="F6" s="5" t="n">
        <f aca="false">SUMIFS(Commandes!$H$2:$H$301,Commandes!$L$2:$L$301,A6)</f>
        <v>0</v>
      </c>
      <c r="G6" s="5" t="n">
        <f aca="false">SUMIFS(Commandes!$I$2:$I$301,Commandes!$L$2:$L$301,A6)</f>
        <v>0</v>
      </c>
      <c r="H6" s="5" t="n">
        <f aca="false">SUMIFS(Commandes!$K$2:$K$301,Commandes!$L$2:$L$301,A6)</f>
        <v>0</v>
      </c>
    </row>
    <row r="7" customFormat="false" ht="15" hidden="false" customHeight="false" outlineLevel="0" collapsed="false">
      <c r="A7" s="6" t="n">
        <v>46447</v>
      </c>
      <c r="B7" s="14" t="n">
        <f aca="false">COUNTIFS(Commandes!$L$2:$L$301,A7)</f>
        <v>0</v>
      </c>
      <c r="C7" s="5" t="n">
        <f aca="false">SUMIFS(Commandes!$E$2:$E$301,Commandes!$L$2:$L$301,A7)</f>
        <v>0</v>
      </c>
      <c r="D7" s="5" t="n">
        <f aca="false">SUMIFS(Commandes!$F$2:$F$301,Commandes!$L$2:$L$301,A7)</f>
        <v>0</v>
      </c>
      <c r="E7" s="5" t="n">
        <f aca="false">SUMIFS(Commandes!$G$2:$G$301,Commandes!$L$2:$L$301,A7)</f>
        <v>0</v>
      </c>
      <c r="F7" s="5" t="n">
        <f aca="false">SUMIFS(Commandes!$H$2:$H$301,Commandes!$L$2:$L$301,A7)</f>
        <v>0</v>
      </c>
      <c r="G7" s="5" t="n">
        <f aca="false">SUMIFS(Commandes!$I$2:$I$301,Commandes!$L$2:$L$301,A7)</f>
        <v>0</v>
      </c>
      <c r="H7" s="5" t="n">
        <f aca="false">SUMIFS(Commandes!$K$2:$K$301,Commandes!$L$2:$L$301,A7)</f>
        <v>0</v>
      </c>
    </row>
    <row r="8" customFormat="false" ht="15" hidden="false" customHeight="false" outlineLevel="0" collapsed="false">
      <c r="A8" s="6" t="n">
        <v>46478</v>
      </c>
      <c r="B8" s="14" t="n">
        <f aca="false">COUNTIFS(Commandes!$L$2:$L$301,A8)</f>
        <v>0</v>
      </c>
      <c r="C8" s="5" t="n">
        <f aca="false">SUMIFS(Commandes!$E$2:$E$301,Commandes!$L$2:$L$301,A8)</f>
        <v>0</v>
      </c>
      <c r="D8" s="5" t="n">
        <f aca="false">SUMIFS(Commandes!$F$2:$F$301,Commandes!$L$2:$L$301,A8)</f>
        <v>0</v>
      </c>
      <c r="E8" s="5" t="n">
        <f aca="false">SUMIFS(Commandes!$G$2:$G$301,Commandes!$L$2:$L$301,A8)</f>
        <v>0</v>
      </c>
      <c r="F8" s="5" t="n">
        <f aca="false">SUMIFS(Commandes!$H$2:$H$301,Commandes!$L$2:$L$301,A8)</f>
        <v>0</v>
      </c>
      <c r="G8" s="5" t="n">
        <f aca="false">SUMIFS(Commandes!$I$2:$I$301,Commandes!$L$2:$L$301,A8)</f>
        <v>0</v>
      </c>
      <c r="H8" s="5" t="n">
        <f aca="false">SUMIFS(Commandes!$K$2:$K$301,Commandes!$L$2:$L$301,A8)</f>
        <v>0</v>
      </c>
    </row>
    <row r="9" customFormat="false" ht="15" hidden="false" customHeight="false" outlineLevel="0" collapsed="false">
      <c r="A9" s="6" t="n">
        <v>46508</v>
      </c>
      <c r="B9" s="14" t="n">
        <f aca="false">COUNTIFS(Commandes!$L$2:$L$301,A9)</f>
        <v>0</v>
      </c>
      <c r="C9" s="5" t="n">
        <f aca="false">SUMIFS(Commandes!$E$2:$E$301,Commandes!$L$2:$L$301,A9)</f>
        <v>0</v>
      </c>
      <c r="D9" s="5" t="n">
        <f aca="false">SUMIFS(Commandes!$F$2:$F$301,Commandes!$L$2:$L$301,A9)</f>
        <v>0</v>
      </c>
      <c r="E9" s="5" t="n">
        <f aca="false">SUMIFS(Commandes!$G$2:$G$301,Commandes!$L$2:$L$301,A9)</f>
        <v>0</v>
      </c>
      <c r="F9" s="5" t="n">
        <f aca="false">SUMIFS(Commandes!$H$2:$H$301,Commandes!$L$2:$L$301,A9)</f>
        <v>0</v>
      </c>
      <c r="G9" s="5" t="n">
        <f aca="false">SUMIFS(Commandes!$I$2:$I$301,Commandes!$L$2:$L$301,A9)</f>
        <v>0</v>
      </c>
      <c r="H9" s="5" t="n">
        <f aca="false">SUMIFS(Commandes!$K$2:$K$301,Commandes!$L$2:$L$301,A9)</f>
        <v>0</v>
      </c>
    </row>
    <row r="10" customFormat="false" ht="15" hidden="false" customHeight="false" outlineLevel="0" collapsed="false">
      <c r="A10" s="6" t="n">
        <v>46539</v>
      </c>
      <c r="B10" s="14" t="n">
        <f aca="false">COUNTIFS(Commandes!$L$2:$L$301,A10)</f>
        <v>0</v>
      </c>
      <c r="C10" s="5" t="n">
        <f aca="false">SUMIFS(Commandes!$E$2:$E$301,Commandes!$L$2:$L$301,A10)</f>
        <v>0</v>
      </c>
      <c r="D10" s="5" t="n">
        <f aca="false">SUMIFS(Commandes!$F$2:$F$301,Commandes!$L$2:$L$301,A10)</f>
        <v>0</v>
      </c>
      <c r="E10" s="5" t="n">
        <f aca="false">SUMIFS(Commandes!$G$2:$G$301,Commandes!$L$2:$L$301,A10)</f>
        <v>0</v>
      </c>
      <c r="F10" s="5" t="n">
        <f aca="false">SUMIFS(Commandes!$H$2:$H$301,Commandes!$L$2:$L$301,A10)</f>
        <v>0</v>
      </c>
      <c r="G10" s="5" t="n">
        <f aca="false">SUMIFS(Commandes!$I$2:$I$301,Commandes!$L$2:$L$301,A10)</f>
        <v>0</v>
      </c>
      <c r="H10" s="5" t="n">
        <f aca="false">SUMIFS(Commandes!$K$2:$K$301,Commandes!$L$2:$L$301,A10)</f>
        <v>0</v>
      </c>
    </row>
    <row r="11" customFormat="false" ht="15" hidden="false" customHeight="false" outlineLevel="0" collapsed="false">
      <c r="A11" s="6" t="n">
        <v>46569</v>
      </c>
      <c r="B11" s="14" t="n">
        <f aca="false">COUNTIFS(Commandes!$L$2:$L$301,A11)</f>
        <v>0</v>
      </c>
      <c r="C11" s="5" t="n">
        <f aca="false">SUMIFS(Commandes!$E$2:$E$301,Commandes!$L$2:$L$301,A11)</f>
        <v>0</v>
      </c>
      <c r="D11" s="5" t="n">
        <f aca="false">SUMIFS(Commandes!$F$2:$F$301,Commandes!$L$2:$L$301,A11)</f>
        <v>0</v>
      </c>
      <c r="E11" s="5" t="n">
        <f aca="false">SUMIFS(Commandes!$G$2:$G$301,Commandes!$L$2:$L$301,A11)</f>
        <v>0</v>
      </c>
      <c r="F11" s="5" t="n">
        <f aca="false">SUMIFS(Commandes!$H$2:$H$301,Commandes!$L$2:$L$301,A11)</f>
        <v>0</v>
      </c>
      <c r="G11" s="5" t="n">
        <f aca="false">SUMIFS(Commandes!$I$2:$I$301,Commandes!$L$2:$L$301,A11)</f>
        <v>0</v>
      </c>
      <c r="H11" s="5" t="n">
        <f aca="false">SUMIFS(Commandes!$K$2:$K$301,Commandes!$L$2:$L$301,A11)</f>
        <v>0</v>
      </c>
    </row>
    <row r="12" customFormat="false" ht="15" hidden="false" customHeight="false" outlineLevel="0" collapsed="false">
      <c r="A12" s="6" t="n">
        <v>46600</v>
      </c>
      <c r="B12" s="14" t="n">
        <f aca="false">COUNTIFS(Commandes!$L$2:$L$301,A12)</f>
        <v>0</v>
      </c>
      <c r="C12" s="5" t="n">
        <f aca="false">SUMIFS(Commandes!$E$2:$E$301,Commandes!$L$2:$L$301,A12)</f>
        <v>0</v>
      </c>
      <c r="D12" s="5" t="n">
        <f aca="false">SUMIFS(Commandes!$F$2:$F$301,Commandes!$L$2:$L$301,A12)</f>
        <v>0</v>
      </c>
      <c r="E12" s="5" t="n">
        <f aca="false">SUMIFS(Commandes!$G$2:$G$301,Commandes!$L$2:$L$301,A12)</f>
        <v>0</v>
      </c>
      <c r="F12" s="5" t="n">
        <f aca="false">SUMIFS(Commandes!$H$2:$H$301,Commandes!$L$2:$L$301,A12)</f>
        <v>0</v>
      </c>
      <c r="G12" s="5" t="n">
        <f aca="false">SUMIFS(Commandes!$I$2:$I$301,Commandes!$L$2:$L$301,A12)</f>
        <v>0</v>
      </c>
      <c r="H12" s="5" t="n">
        <f aca="false">SUMIFS(Commandes!$K$2:$K$301,Commandes!$L$2:$L$301,A12)</f>
        <v>0</v>
      </c>
    </row>
    <row r="13" customFormat="false" ht="15" hidden="false" customHeight="false" outlineLevel="0" collapsed="false">
      <c r="A13" s="6" t="n">
        <v>46631</v>
      </c>
      <c r="B13" s="14" t="n">
        <f aca="false">COUNTIFS(Commandes!$L$2:$L$301,A13)</f>
        <v>0</v>
      </c>
      <c r="C13" s="5" t="n">
        <f aca="false">SUMIFS(Commandes!$E$2:$E$301,Commandes!$L$2:$L$301,A13)</f>
        <v>0</v>
      </c>
      <c r="D13" s="5" t="n">
        <f aca="false">SUMIFS(Commandes!$F$2:$F$301,Commandes!$L$2:$L$301,A13)</f>
        <v>0</v>
      </c>
      <c r="E13" s="5" t="n">
        <f aca="false">SUMIFS(Commandes!$G$2:$G$301,Commandes!$L$2:$L$301,A13)</f>
        <v>0</v>
      </c>
      <c r="F13" s="5" t="n">
        <f aca="false">SUMIFS(Commandes!$H$2:$H$301,Commandes!$L$2:$L$301,A13)</f>
        <v>0</v>
      </c>
      <c r="G13" s="5" t="n">
        <f aca="false">SUMIFS(Commandes!$I$2:$I$301,Commandes!$L$2:$L$301,A13)</f>
        <v>0</v>
      </c>
      <c r="H13" s="5" t="n">
        <f aca="false">SUMIFS(Commandes!$K$2:$K$301,Commandes!$L$2:$L$301,A13)</f>
        <v>0</v>
      </c>
    </row>
    <row r="14" customFormat="false" ht="15" hidden="false" customHeight="false" outlineLevel="0" collapsed="false">
      <c r="A14" s="6" t="n">
        <v>46661</v>
      </c>
      <c r="B14" s="14" t="n">
        <f aca="false">COUNTIFS(Commandes!$L$2:$L$301,A14)</f>
        <v>0</v>
      </c>
      <c r="C14" s="5" t="n">
        <f aca="false">SUMIFS(Commandes!$E$2:$E$301,Commandes!$L$2:$L$301,A14)</f>
        <v>0</v>
      </c>
      <c r="D14" s="5" t="n">
        <f aca="false">SUMIFS(Commandes!$F$2:$F$301,Commandes!$L$2:$L$301,A14)</f>
        <v>0</v>
      </c>
      <c r="E14" s="5" t="n">
        <f aca="false">SUMIFS(Commandes!$G$2:$G$301,Commandes!$L$2:$L$301,A14)</f>
        <v>0</v>
      </c>
      <c r="F14" s="5" t="n">
        <f aca="false">SUMIFS(Commandes!$H$2:$H$301,Commandes!$L$2:$L$301,A14)</f>
        <v>0</v>
      </c>
      <c r="G14" s="5" t="n">
        <f aca="false">SUMIFS(Commandes!$I$2:$I$301,Commandes!$L$2:$L$301,A14)</f>
        <v>0</v>
      </c>
      <c r="H14" s="5" t="n">
        <f aca="false">SUMIFS(Commandes!$K$2:$K$301,Commandes!$L$2:$L$301,A14)</f>
        <v>0</v>
      </c>
    </row>
    <row r="15" customFormat="false" ht="15" hidden="false" customHeight="false" outlineLevel="0" collapsed="false">
      <c r="A15" s="6" t="n">
        <v>46692</v>
      </c>
      <c r="B15" s="14" t="n">
        <f aca="false">COUNTIFS(Commandes!$L$2:$L$301,A15)</f>
        <v>0</v>
      </c>
      <c r="C15" s="5" t="n">
        <f aca="false">SUMIFS(Commandes!$E$2:$E$301,Commandes!$L$2:$L$301,A15)</f>
        <v>0</v>
      </c>
      <c r="D15" s="5" t="n">
        <f aca="false">SUMIFS(Commandes!$F$2:$F$301,Commandes!$L$2:$L$301,A15)</f>
        <v>0</v>
      </c>
      <c r="E15" s="5" t="n">
        <f aca="false">SUMIFS(Commandes!$G$2:$G$301,Commandes!$L$2:$L$301,A15)</f>
        <v>0</v>
      </c>
      <c r="F15" s="5" t="n">
        <f aca="false">SUMIFS(Commandes!$H$2:$H$301,Commandes!$L$2:$L$301,A15)</f>
        <v>0</v>
      </c>
      <c r="G15" s="5" t="n">
        <f aca="false">SUMIFS(Commandes!$I$2:$I$301,Commandes!$L$2:$L$301,A15)</f>
        <v>0</v>
      </c>
      <c r="H15" s="5" t="n">
        <f aca="false">SUMIFS(Commandes!$K$2:$K$301,Commandes!$L$2:$L$301,A15)</f>
        <v>0</v>
      </c>
    </row>
    <row r="16" customFormat="false" ht="15" hidden="false" customHeight="false" outlineLevel="0" collapsed="false">
      <c r="A16" s="6" t="n">
        <v>46722</v>
      </c>
      <c r="B16" s="14" t="n">
        <f aca="false">COUNTIFS(Commandes!$L$2:$L$301,A16)</f>
        <v>0</v>
      </c>
      <c r="C16" s="5" t="n">
        <f aca="false">SUMIFS(Commandes!$E$2:$E$301,Commandes!$L$2:$L$301,A16)</f>
        <v>0</v>
      </c>
      <c r="D16" s="5" t="n">
        <f aca="false">SUMIFS(Commandes!$F$2:$F$301,Commandes!$L$2:$L$301,A16)</f>
        <v>0</v>
      </c>
      <c r="E16" s="5" t="n">
        <f aca="false">SUMIFS(Commandes!$G$2:$G$301,Commandes!$L$2:$L$301,A16)</f>
        <v>0</v>
      </c>
      <c r="F16" s="5" t="n">
        <f aca="false">SUMIFS(Commandes!$H$2:$H$301,Commandes!$L$2:$L$301,A16)</f>
        <v>0</v>
      </c>
      <c r="G16" s="5" t="n">
        <f aca="false">SUMIFS(Commandes!$I$2:$I$301,Commandes!$L$2:$L$301,A16)</f>
        <v>0</v>
      </c>
      <c r="H16" s="5" t="n">
        <f aca="false">SUMIFS(Commandes!$K$2:$K$301,Commandes!$L$2:$L$301,A16)</f>
        <v>0</v>
      </c>
    </row>
    <row r="17" customFormat="false" ht="15" hidden="false" customHeight="false" outlineLevel="0" collapsed="false">
      <c r="A17" s="15" t="s">
        <v>40</v>
      </c>
      <c r="B17" s="16" t="n">
        <f aca="false">SUM(B2:B16)</f>
        <v>1</v>
      </c>
      <c r="C17" s="17" t="n">
        <f aca="false">SUM(C2:C16)</f>
        <v>29.99</v>
      </c>
      <c r="D17" s="17" t="n">
        <f aca="false">SUM(D2:D16)</f>
        <v>18.4</v>
      </c>
      <c r="E17" s="17" t="n">
        <f aca="false">SUM(E2:E16)</f>
        <v>0.7</v>
      </c>
      <c r="F17" s="17" t="n">
        <f aca="false">SUM(F2:F16)</f>
        <v>3.69</v>
      </c>
      <c r="G17" s="17" t="n">
        <f aca="false">SUM(G2:G16)</f>
        <v>0</v>
      </c>
      <c r="H17" s="17" t="n">
        <f aca="false">SUM(H2:H16)</f>
        <v>7.2</v>
      </c>
    </row>
    <row r="19" customFormat="false" ht="15" hidden="false" customHeight="false" outlineLevel="0" collapsed="false">
      <c r="A19" s="1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2026-10-26T11:00:52Z</dcterms:created>
  <dc:creator>openpyxl</dc:creator>
  <dc:description/>
  <dc:language>en-US</dc:language>
  <cp:lastModifiedBy/>
  <dcterms:modified xsi:type="dcterms:W3CDTF">2026-10-26T11:00:52Z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